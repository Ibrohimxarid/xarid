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Сводка" sheetId="1" state="visible" r:id="rId3"/>
    <sheet name="Все компании" sheetId="2" state="visible" r:id="rId4"/>
    <sheet name="AT13 шорт-лист" sheetId="3" state="visible" r:id="rId5"/>
    <sheet name="MU30 тех шорт-лист" sheetId="4" state="visible" r:id="rId6"/>
    <sheet name="MU30 клининг шорт-лист" sheetId="5" state="visible" r:id="rId7"/>
    <sheet name="Источники и метод" sheetId="6" state="visible" r:id="rId8"/>
  </sheets>
  <definedNames>
    <definedName function="false" hidden="true" localSheetId="1" name="_xlnm._FilterDatabase" vbProcedure="false">'Все компании'!$A$4:$Y$53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<sst xmlns="http://schemas.openxmlformats.org/spreadsheetml/2006/main" count="1061" uniqueCount="480">
  <si>
    <t xml:space="preserve">Маркет-рисерч исполнителей: АО «Узавтосаноат», Ташкент</t>
  </si>
  <si>
    <t xml:space="preserve">Дата: 28.10.2026 · Период услуг по ТЗ: 01.11.2026–31.10.2027 (12 мес.) · КП действует 30 дней</t>
  </si>
  <si>
    <t xml:space="preserve">Лот</t>
  </si>
  <si>
    <t xml:space="preserve">Предмет</t>
  </si>
  <si>
    <t xml:space="preserve">Ключевые требования ТЗ</t>
  </si>
  <si>
    <t xml:space="preserve">Профильных компаний (●)</t>
  </si>
  <si>
    <t xml:space="preserve">Частично / субподряд (○)</t>
  </si>
  <si>
    <t xml:space="preserve">В шорт-листе</t>
  </si>
  <si>
    <t xml:space="preserve">AT13-1</t>
  </si>
  <si>
    <t xml:space="preserve">AT13 Лот 1. Электроснабжение и ТП 0,4 кВ (пост 24/7)</t>
  </si>
  <si>
    <t xml:space="preserve">Допуск к электроустановкам до 1000 В, профобразование; пост 24/7 — 5 электриков (12/36); ТП №5676: 4×ТМГ-1000/10/0,4, 80 щитов</t>
  </si>
  <si>
    <t xml:space="preserve">AT13-2</t>
  </si>
  <si>
    <t xml:space="preserve">AT13 Лот 2. Холодоснабжение и вентиляция (4 чиллера, 18 AHU, 250 фанкойлов)</t>
  </si>
  <si>
    <t xml:space="preserve">Проф. (среднее спец./высшее) по холодильному оборудованию, руководитель — высшее; пост 24/7 в сезон охлаждения — 5 техников; 4 чиллера ZEPHYRUS по 1000 кВт, 18 AHU, 250 фанкойлов</t>
  </si>
  <si>
    <t xml:space="preserve">AT13-3</t>
  </si>
  <si>
    <t xml:space="preserve">AT13 Лот 3. Газ и котельная (3×Italheat 1,6 МВт, ГРП)</t>
  </si>
  <si>
    <t xml:space="preserve">Аттестация оператора котельной и допуск к газовому оборудованию; пост 24/7 в отопительный сезон — 5 операторов; блочно-модульная котельная 6,5 МВт (3×Italheat 1,6 МВт), ГРП; субподряд по лицензируемым работам — с согласия</t>
  </si>
  <si>
    <t xml:space="preserve">AT13-4</t>
  </si>
  <si>
    <t xml:space="preserve">AT13 Лот 4. Лифты (4 шт.)</t>
  </si>
  <si>
    <t xml:space="preserve">Разрешение на работы с лифтами (можно через лицензированного субподрядчика); 4 лифта; освобождение пассажиров ≤30 мин, авария 24/7</t>
  </si>
  <si>
    <t xml:space="preserve">AT13-5</t>
  </si>
  <si>
    <t xml:space="preserve">AT13 Лот 5. Сантехника и тепловые пункты (пост 24/7)</t>
  </si>
  <si>
    <t xml:space="preserve">Профквалификация; пост 24/7 — 5 сантехников; 5 теплообменников 460 кВт, 15 насосов Magna, 40 насосов водоснабжения, пожарные насосные станции</t>
  </si>
  <si>
    <t xml:space="preserve">AT13-6</t>
  </si>
  <si>
    <t xml:space="preserve">AT13 Лот 6. Благоустройство: покрытия, газоны, фонтаны, плотник, фасад</t>
  </si>
  <si>
    <t xml:space="preserve">Без спец. образования; плотник — квалификация; высотники — допуск; 3 сотрудника 7 дней в неделю; покрытия 3 072,6 м², зелень 2 025,7 м², 2 фонтана, мойка фасада (субподряд)</t>
  </si>
  <si>
    <t xml:space="preserve">MU30T-1</t>
  </si>
  <si>
    <t xml:space="preserve">MU30 тех. Лот 1. Электроснабжение (дневной пост)</t>
  </si>
  <si>
    <t xml:space="preserve">Допуск до 1000 В; дневной пост 8 ч — 1 электрик; авария вне поста — прибытие ≤2 ч</t>
  </si>
  <si>
    <t xml:space="preserve">MU30T-2</t>
  </si>
  <si>
    <t xml:space="preserve">MU30 тех. Лот 2. Сантехника (дневной пост)</t>
  </si>
  <si>
    <t xml:space="preserve">Профквалификация; дневной пост 8 ч — 1 сантехник; авария — прибытие ≤2 ч</t>
  </si>
  <si>
    <t xml:space="preserve">MU30T-3</t>
  </si>
  <si>
    <t xml:space="preserve">MU30 тех. Лот 3. Лифт (1 шт.)</t>
  </si>
  <si>
    <t xml:space="preserve">Разрешение на работы с лифтами (субподряд допускается); 1 лифт; авария 24/7</t>
  </si>
  <si>
    <t xml:space="preserve">MU30T-4</t>
  </si>
  <si>
    <t xml:space="preserve">MU30 тех. Лот 4. Территория и газоны</t>
  </si>
  <si>
    <t xml:space="preserve">Без спец. образования; 2 сотрудника 7 дней в неделю; покрытие 2 597,7 м², газоны и зелень 1 074,6 м²</t>
  </si>
  <si>
    <t xml:space="preserve">MU30K</t>
  </si>
  <si>
    <t xml:space="preserve">MU30 клининг. Уборка МОП 2 305,19 м²</t>
  </si>
  <si>
    <t xml:space="preserve">4 уборщика (8:00–17:00 и 9:00–18:00), генуборка раз в квартал (суббота, бригада ≥6), высотники с допуском</t>
  </si>
  <si>
    <t xml:space="preserve">Всего компаний в списке</t>
  </si>
  <si>
    <t xml:space="preserve">Главное</t>
  </si>
  <si>
    <t xml:space="preserve">1. Интегрированного FM-оператора, который закрыл бы все 6 лотов AT13 своими силами, в открытых источниках не найдено. Реалистичная схема — генподрядчик (многопрофильная компания) + субподрядчики по лифтам, котельной/ГРП и мойке фасада (ТЗ п. 6.7 это допускает), либо запрос КП по лотам.</t>
  </si>
  <si>
    <t xml:space="preserve">2. Лифты: самый насыщенный и регулируемый сегмент. Марка и грузоподъёмность лифтов в ТЗ не указаны («по техпаспорту») — их нужно сообщить исполнителям: от марки зависит, кто приоритетен (KONE → Lift Universal, Otis → LIFTEES). Наличие разрешения сверять по реестру КПРЯБ на gov.uz/cirns.</t>
  </si>
  <si>
    <t xml:space="preserve">3. Котельная: котлы Italheat — логично запросить КП у ITALHEAT GROUP (поставщик бренда). Узких подрядчиков по эксплуатации промышленных котельных и ГРП в открытом доступе мало — проверить аттестацию операторов и допуски по газу.</t>
  </si>
  <si>
    <t xml:space="preserve">4. Чиллеры ZEPHYRUS: марка в узбекских источниках не встречается. У кандидатов запросить опыт обслуживания чиллеров ≥1 МВт с воздушным охлаждением.</t>
  </si>
  <si>
    <t xml:space="preserve">5. Электрика с ТП 10/0,4 кВ и постом 24/7 — самый слабый по предложению сегмент: компании в основном монтажники или электролаборатории. Возможна связка: исполнитель поста + электролаборатория (PROF-LEND) для испытаний.</t>
  </si>
  <si>
    <t xml:space="preserve">6. Клининг и озеленение — конкурентный рынок, 3+ КП собрать реально. NewCleaner может закрыть клининг MU30 и территорию MU30 одним договором.</t>
  </si>
  <si>
    <t xml:space="preserve">7. Обязательный осмотр объекта до подачи КП (ТЗ п. 6.8.2): в запросе нужно указать дату и время осмотра.</t>
  </si>
  <si>
    <t xml:space="preserve">Ограничения</t>
  </si>
  <si>
    <t xml:space="preserve">• При сборе данных не было прямого доступа к goldenpages.uz, orginfo.uz, xarid.uzex.uz, etender.uzex.uz, 2gis.uz, olx.uz, top.uz, gov.uz, license.gov.uz. Данные собраны через веб-поиск (фрагменты сайтов компаний и каталогов). Перед рассылкой проверить номер звонком.</t>
  </si>
  <si>
    <t xml:space="preserve">• Победителей аналогичных госзакупок, ИНН и директоров установить не удалось (реестры и порталы недоступны) — колонка «Опыт в госзакупках» не заполнена.</t>
  </si>
  <si>
    <t xml:space="preserve">• Телефон +998 78 140-09-09 с адресом «пр. Мирзо Улугбека, 30» показывается в Golden Pages у многих несвязанных компаний — исключён как служебный номер каталога.</t>
  </si>
  <si>
    <t xml:space="preserve">Потенциальные исполнители — общий список (Ташкент), данные на 28.10.2026</t>
  </si>
  <si>
    <t xml:space="preserve">● — профиль совпадает с лотом; ○ — частично / как субподрядчик. Достоверность: A — контакты с официального сайта; B — каталог или один источник; C — неполные/старые данные, требуется проверка.</t>
  </si>
  <si>
    <t xml:space="preserve">№</t>
  </si>
  <si>
    <t xml:space="preserve">Компания</t>
  </si>
  <si>
    <t xml:space="preserve">Категория</t>
  </si>
  <si>
    <t xml:space="preserve">Специализация / подтверждение</t>
  </si>
  <si>
    <t xml:space="preserve">Лицензия / разрешение</t>
  </si>
  <si>
    <t xml:space="preserve">Телефон(ы)</t>
  </si>
  <si>
    <t xml:space="preserve">E-mail</t>
  </si>
  <si>
    <t xml:space="preserve">Сайт</t>
  </si>
  <si>
    <t xml:space="preserve">Telegram / соцсети</t>
  </si>
  <si>
    <t xml:space="preserve">Адрес</t>
  </si>
  <si>
    <t xml:space="preserve">Источник</t>
  </si>
  <si>
    <t xml:space="preserve">Достоверность</t>
  </si>
  <si>
    <t xml:space="preserve">Примечание</t>
  </si>
  <si>
    <t xml:space="preserve">Опыт в госзакупках</t>
  </si>
  <si>
    <t xml:space="preserve">Lift Universal (ООО «LIFT-UNIVERSAL»)</t>
  </si>
  <si>
    <t xml:space="preserve">Лифты</t>
  </si>
  <si>
    <t xml:space="preserve">●</t>
  </si>
  <si>
    <t xml:space="preserve">Официальный и единственный партнёр KONE в Узбекистане: монтаж, ремонт, ТО лифтов и эскалаторов</t>
  </si>
  <si>
    <t xml:space="preserve">Лицензию проверить (в видимой части реестра КПРЯБ не найдено)</t>
  </si>
  <si>
    <t xml:space="preserve">+998 71 205 52 25; +998 71 254 86 06</t>
  </si>
  <si>
    <t xml:space="preserve">info@lift-universal.uz</t>
  </si>
  <si>
    <t xml:space="preserve">lift-universal.uz</t>
  </si>
  <si>
    <t xml:space="preserve">t.me/LiftUniversalKONE; Instagram @lift.universal</t>
  </si>
  <si>
    <t xml:space="preserve">Ташкент, Мирзо-Улугбекский р-н, ул. Буюк Ипак Йули, 49 (на стр. «Контакты» — Яккасарайский р-н, ул. Кушбеги, 10Б)</t>
  </si>
  <si>
    <t xml:space="preserve">https://lift-universal.uz/kontakty</t>
  </si>
  <si>
    <t xml:space="preserve">A</t>
  </si>
  <si>
    <t xml:space="preserve">Приоритет, если лифты KONE. Адрес на сайте указан двояко</t>
  </si>
  <si>
    <t xml:space="preserve">не проверено (порталы закупок недоступны)</t>
  </si>
  <si>
    <t xml:space="preserve">VALT LIFT (ООО «VALT-LIFT»)</t>
  </si>
  <si>
    <t xml:space="preserve">Проектирование, производство, монтаж и обслуживание лифтов; без выходных 9:00–20:00</t>
  </si>
  <si>
    <t xml:space="preserve">В реестре разрешений КПРЯБ на монтаж и ремонт лифтов (по выдержке gov.uz/cirns)</t>
  </si>
  <si>
    <t xml:space="preserve">+998 71 235 20 05</t>
  </si>
  <si>
    <t xml:space="preserve">info@valtlift.com</t>
  </si>
  <si>
    <t xml:space="preserve">valtlift.com</t>
  </si>
  <si>
    <t xml:space="preserve">—</t>
  </si>
  <si>
    <t xml:space="preserve">Ташкент, Юнусабадский р-н, Ц-5, 54/42</t>
  </si>
  <si>
    <t xml:space="preserve">https://valtlift.com/kontakty</t>
  </si>
  <si>
    <t xml:space="preserve">LIFTEES (Expert Elevator System)</t>
  </si>
  <si>
    <t xml:space="preserve">Официальный дистрибьютор Otis в Узбекистане; поставка, монтаж, ремонт, ТО</t>
  </si>
  <si>
    <t xml:space="preserve">В реестре КПРЯБ есть «EXPERT ELEVATOR GROUP» — связь проверить</t>
  </si>
  <si>
    <t xml:space="preserve">+998 71 207 40 04</t>
  </si>
  <si>
    <t xml:space="preserve">info@liftees.uz; tahir.salihov@mail.ru (Expert Elevator Service)</t>
  </si>
  <si>
    <t xml:space="preserve">liftees.uz</t>
  </si>
  <si>
    <t xml:space="preserve">Ташкент, ул. Богибустон, 184 (Expert Elevator Service ООО: Шайхантахурский р-н, ул. Бунёдкор, 6А)</t>
  </si>
  <si>
    <t xml:space="preserve">https://www.otis.com/zh/cn/distributors ; https://top.uz/company/expert-elevator-service-ooo</t>
  </si>
  <si>
    <t xml:space="preserve">Приоритет, если лифты Otis</t>
  </si>
  <si>
    <t xml:space="preserve">Master-Lift (ООО «MASTER-LIFT»)</t>
  </si>
  <si>
    <t xml:space="preserve">ТО лифтового оборудования; также ИБП и дизель-генераторы</t>
  </si>
  <si>
    <t xml:space="preserve">В реестре разрешений КПРЯБ (по выдержке gov.uz/cirns)</t>
  </si>
  <si>
    <t xml:space="preserve">+998 94 660 41 52; +998 95 169 74 63; +998 95 143 74 63</t>
  </si>
  <si>
    <t xml:space="preserve">masterlift@list.ru</t>
  </si>
  <si>
    <t xml:space="preserve">Ташкент, Юнусабадский р-н, ул. Ифтихор, 29 (top.uz: пр. Шарафа Рашидова, 16)</t>
  </si>
  <si>
    <t xml:space="preserve">https://gigal.uz/objects/dir/tashkent/oborudovanie_i_tehnika/1188-lifti/ ; top.uz</t>
  </si>
  <si>
    <t xml:space="preserve">B</t>
  </si>
  <si>
    <t xml:space="preserve">High Lift Solution</t>
  </si>
  <si>
    <t xml:space="preserve">Продажа, монтаж и обслуживание лифтов, подъёмников, эскалаторов</t>
  </si>
  <si>
    <t xml:space="preserve">В реестре разрешений КПРЯБ («HIGH LIFT SOLUTION», по выдержке)</t>
  </si>
  <si>
    <t xml:space="preserve">+998 33 038 88 88</t>
  </si>
  <si>
    <t xml:space="preserve">high-lift.uz</t>
  </si>
  <si>
    <t xml:space="preserve">Ташкент</t>
  </si>
  <si>
    <t xml:space="preserve">https://high-lift.uz/</t>
  </si>
  <si>
    <t xml:space="preserve">Beta Lift Asia Uzbekistan</t>
  </si>
  <si>
    <t xml:space="preserve">Лифтовое оборудование, монтаж и сервис</t>
  </si>
  <si>
    <t xml:space="preserve">В реестре разрешений КПРЯБ («BETA LIFT ASIA», по выдержке)</t>
  </si>
  <si>
    <t xml:space="preserve">+998 90 043 40 30; +998 90 047 40 30; +998 78 147 40 30</t>
  </si>
  <si>
    <t xml:space="preserve">Instagram @beta_lift_asia_uzbekistan</t>
  </si>
  <si>
    <t xml:space="preserve">Ташкент, Мирзо-Улугбекский р-н, массив Ялангач, ул. Зафар Диёр, 119а</t>
  </si>
  <si>
    <t xml:space="preserve">https://www.instagram.com/beta_lift_asia_uzbekistan/ ; fastbase.com</t>
  </si>
  <si>
    <t xml:space="preserve">YUMA LIFT (ООО «YUMA GREEN»)</t>
  </si>
  <si>
    <t xml:space="preserve">Производство, поставка и обслуживание пассажирских, больничных и грузовых лифтов</t>
  </si>
  <si>
    <t xml:space="preserve">Проверить по реестру КПРЯБ</t>
  </si>
  <si>
    <t xml:space="preserve">+998 95 478 88 87; +998 71 280 60 60</t>
  </si>
  <si>
    <t xml:space="preserve">yumaliftuzbekistan@gmail.com</t>
  </si>
  <si>
    <t xml:space="preserve">yumalift.uz</t>
  </si>
  <si>
    <t xml:space="preserve">Ташкент, Яккасарайский р-н, ул. Шота Руставели, 53Б (ориентир: базар «Аския»)</t>
  </si>
  <si>
    <t xml:space="preserve">https://www.yellowpages.uz/kompaniya/yuma-lift ; top.uz</t>
  </si>
  <si>
    <t xml:space="preserve">Alpha Partners Group</t>
  </si>
  <si>
    <t xml:space="preserve">○</t>
  </si>
  <si>
    <t xml:space="preserve">Продажа и монтаж лифтов; сервис уточнить</t>
  </si>
  <si>
    <t xml:space="preserve">+998 97 741 77 73; +998 97 758 77 73</t>
  </si>
  <si>
    <t xml:space="preserve">apg.uz</t>
  </si>
  <si>
    <t xml:space="preserve">http://www.apg.uz/ ; gigal.uz</t>
  </si>
  <si>
    <t xml:space="preserve">Trust Lift</t>
  </si>
  <si>
    <t xml:space="preserve">Обслуживание лифтов (по каталогу)</t>
  </si>
  <si>
    <t xml:space="preserve">В реестре КПРЯБ есть «TRUST QUALITY ELEVATORS» — возможно, та же компания</t>
  </si>
  <si>
    <t xml:space="preserve">+998 98 303 08 01; +998 93 534 36 06; +998 93 507 52 65</t>
  </si>
  <si>
    <t xml:space="preserve">Ташкент, Мирзо-Улугбекский р-н, ул. Шуртепа, 159</t>
  </si>
  <si>
    <t xml:space="preserve">gigal.uz</t>
  </si>
  <si>
    <t xml:space="preserve">C</t>
  </si>
  <si>
    <t xml:space="preserve">Lift Montaj Servis (ООО «LIFT MONTAJ SERVIS»)</t>
  </si>
  <si>
    <t xml:space="preserve">Монтаж и сервис лифтов (по каталогу)</t>
  </si>
  <si>
    <t xml:space="preserve">+998 90 329 91 38; +998 90 999 12 07; +998 71 246 72 62</t>
  </si>
  <si>
    <t xml:space="preserve">gigal.uz ; goldenpages.uz (Id=68776)</t>
  </si>
  <si>
    <t xml:space="preserve">Ideal Lift Servis (ООО)</t>
  </si>
  <si>
    <t xml:space="preserve">Монтаж, ремонт и обслуживание лифтов</t>
  </si>
  <si>
    <t xml:space="preserve">+998 91 441 04 10; +998 33 001 04 10</t>
  </si>
  <si>
    <t xml:space="preserve">https://stroyka.uz/offer/montazh-remont-i-obsluzhivanie-liftov ; top.uz</t>
  </si>
  <si>
    <t xml:space="preserve">Safety Elevators &amp; Escalators (дистрибьютор Schindler)</t>
  </si>
  <si>
    <t xml:space="preserve">Дистрибьютор Schindler (данные старые): ремонт, запчасти</t>
  </si>
  <si>
    <t xml:space="preserve">Проверить</t>
  </si>
  <si>
    <t xml:space="preserve">+998 90 328 82 28; +998 71 207 00 50 (top.uz, «Schindler эксклюзивный дистрибьютор»)</t>
  </si>
  <si>
    <t xml:space="preserve">seeuzbekistan@gmail.com</t>
  </si>
  <si>
    <t xml:space="preserve">see.uz</t>
  </si>
  <si>
    <t xml:space="preserve">Ташкент, Яшнабадский р-н, ул. Боку, 179А, 100076</t>
  </si>
  <si>
    <t xml:space="preserve">https://group.schindler.com/en/system/worldwide.html ; yellowpages.uz</t>
  </si>
  <si>
    <t xml:space="preserve">Только если лифты Schindler; запись в каталоге Schindler старая</t>
  </si>
  <si>
    <t xml:space="preserve">ITALHEAT GROUP (СП ООО)</t>
  </si>
  <si>
    <t xml:space="preserve">Котельная / отопление</t>
  </si>
  <si>
    <t xml:space="preserve">Импортёр и дистрибьютор котельного, климатического и вентиляционного оборудования (котлы Italheat установлены на объекте); официальный дилер и сервисный центр Immergas</t>
  </si>
  <si>
    <t xml:space="preserve">Допуски по промбезопасности и газу уточнить; ГРП — через субподряд</t>
  </si>
  <si>
    <t xml:space="preserve">+998 71 231 64 99; +998 71 231 64 90</t>
  </si>
  <si>
    <t xml:space="preserve">info@italheat.com</t>
  </si>
  <si>
    <t xml:space="preserve">italheat.com</t>
  </si>
  <si>
    <t xml:space="preserve">Ташкент, Мирабадский р-н, массив Госпитальный, 7 (по каталогам есть и другие адреса)</t>
  </si>
  <si>
    <t xml:space="preserve">https://italheat.com/about-us/ ; yellowpages.uz</t>
  </si>
  <si>
    <t xml:space="preserve">Приоритет: оборудование их марки. Уточнить, берут ли эксплуатацию с операторами 24/7 или только сервис</t>
  </si>
  <si>
    <t xml:space="preserve">FUSE HVAC Engineering</t>
  </si>
  <si>
    <t xml:space="preserve">ОВиК / котельные</t>
  </si>
  <si>
    <t xml:space="preserve">Обслуживание чиллеров и фанкойлов, VRF, регламент вентиляции, пусконаладка; ТО котельных, промывка систем отопления, подготовка к сезону</t>
  </si>
  <si>
    <t xml:space="preserve">Допуски по газу проверить</t>
  </si>
  <si>
    <t xml:space="preserve">+998 90 998 00 50 (также Telegram)</t>
  </si>
  <si>
    <t xml:space="preserve">info@fuse.uz</t>
  </si>
  <si>
    <t xml:space="preserve">fuse.uz</t>
  </si>
  <si>
    <t xml:space="preserve">Ташкент, ул. Яхьё Гулямова, 38, 100060</t>
  </si>
  <si>
    <t xml:space="preserve">https://fuse.uz/en/about-us/ ; https://fuse.uz/en/konditsionirovanie/obsluzhivanie-chiller/</t>
  </si>
  <si>
    <t xml:space="preserve">Кандидат на несколько лотов AT13 (2, 3, 5)</t>
  </si>
  <si>
    <t xml:space="preserve">Smart Heating Systems</t>
  </si>
  <si>
    <t xml:space="preserve">ОВиК / теплоснабжение</t>
  </si>
  <si>
    <t xml:space="preserve">Инжиниринг отопления, вентиляции, охлаждения; теплообменники, насосы, котлы; гарантийный и сервисный ремонт; 15+ лет</t>
  </si>
  <si>
    <t xml:space="preserve">+998 71 248 79 79; +998 90 926 67 76; +998 97 480 79 80</t>
  </si>
  <si>
    <t xml:space="preserve">info@smartheating.uz</t>
  </si>
  <si>
    <t xml:space="preserve">smartheating.uz</t>
  </si>
  <si>
    <t xml:space="preserve">Ташкент, ул. Ифтихор, 9/1, 100057 (на сайте также ул. Туркурган, 2/4)</t>
  </si>
  <si>
    <t xml:space="preserve">https://smartheating.uz/kontakty</t>
  </si>
  <si>
    <t xml:space="preserve">Профиль: ИТП/ТП (пластинчатые теплообменники, насосы Magna)</t>
  </si>
  <si>
    <t xml:space="preserve">Gas Service</t>
  </si>
  <si>
    <t xml:space="preserve">Газовое оборудование</t>
  </si>
  <si>
    <t xml:space="preserve">Эксплуатация ГРП и ГРПШ с РДУК-150</t>
  </si>
  <si>
    <t xml:space="preserve">Лицензию проверить</t>
  </si>
  <si>
    <t xml:space="preserve">https://stroyka.uz/offer/ekspluataciya-grp-i-grps-s-rduk-150</t>
  </si>
  <si>
    <t xml:space="preserve">Кандидат на субподряд по ГРП; контакты — на странице объявления</t>
  </si>
  <si>
    <t xml:space="preserve">BTS Group</t>
  </si>
  <si>
    <t xml:space="preserve">Промышленные газовые и двухтопливные горелки: монтаж, пусконаладка, сервис</t>
  </si>
  <si>
    <t xml:space="preserve">btsgroup.uz</t>
  </si>
  <si>
    <t xml:space="preserve">https://www.btsgroup.uz/</t>
  </si>
  <si>
    <t xml:space="preserve">Субподряд по горелкам</t>
  </si>
  <si>
    <t xml:space="preserve">Uztexenergo (ООО)</t>
  </si>
  <si>
    <t xml:space="preserve">Сервисный центр по ремонту котлов и ТО; монтаж промышленных котлов</t>
  </si>
  <si>
    <t xml:space="preserve">https://stroyka.uz/offer/servisnyi-centr-po-remontu-kotlov-v-taskente-i-to-lyuboi-sloznosti</t>
  </si>
  <si>
    <t xml:space="preserve">Adrian Eco</t>
  </si>
  <si>
    <t xml:space="preserve">Монтаж и пусконаладка промышленных котлов 500 кВт – 100 МВт</t>
  </si>
  <si>
    <t xml:space="preserve">https://www.prom.uz/tags/ustanovka-kotlov/</t>
  </si>
  <si>
    <t xml:space="preserve">Climate Master</t>
  </si>
  <si>
    <t xml:space="preserve">ОВиК / котлы</t>
  </si>
  <si>
    <t xml:space="preserve">Ремонт и ТО чиллеров, кондиционеров, котлов; круглосуточно</t>
  </si>
  <si>
    <t xml:space="preserve">+998 33 566 67 68</t>
  </si>
  <si>
    <t xml:space="preserve">info@climate-master.uz</t>
  </si>
  <si>
    <t xml:space="preserve">climate-master.uz</t>
  </si>
  <si>
    <t xml:space="preserve">Ташкент, Чиланзарский р-н, дом 87</t>
  </si>
  <si>
    <t xml:space="preserve">https://climate-master.uz/</t>
  </si>
  <si>
    <t xml:space="preserve">Скорее сервисная мастерская, масштаб проверить</t>
  </si>
  <si>
    <t xml:space="preserve">Everest Group (ООО «EVEREST GROUP»)</t>
  </si>
  <si>
    <t xml:space="preserve">ОВиК</t>
  </si>
  <si>
    <t xml:space="preserve">Промышленная вентиляция и кондиционирование: поставка чиллеров и фанкойлов, VRF, монтаж, пусконаладка; объекты: головной офис Orient Finance Bank, Holiday Inn, BEFIT BOX</t>
  </si>
  <si>
    <t xml:space="preserve">+998 55 500 99 00; +998 99 119 12 12</t>
  </si>
  <si>
    <t xml:space="preserve">info@everestgroup.uz</t>
  </si>
  <si>
    <t xml:space="preserve">everestgroup.uz</t>
  </si>
  <si>
    <t xml:space="preserve">Ташкент, Яшнабадский р-н, ул. Уйсозлар, 75 (ориентир: 1-й автобусный парк)</t>
  </si>
  <si>
    <t xml:space="preserve">https://everestgroup.uz/contacts/</t>
  </si>
  <si>
    <t xml:space="preserve">DC Engineering / Direct Cool (Daikin)</t>
  </si>
  <si>
    <t xml:space="preserve">Официальный дистрибьютор и авторизованный сервисный центр Daikin в Узбекистане; с 2005 г.; 213 объектов, 34 специалиста (по данным компании)</t>
  </si>
  <si>
    <t xml:space="preserve">+998 77 299 07 77 (сервисный центр)</t>
  </si>
  <si>
    <t xml:space="preserve">daikin-dc.uz; directcool.uz</t>
  </si>
  <si>
    <t xml:space="preserve">Facebook daikinuz</t>
  </si>
  <si>
    <t xml:space="preserve">Ташкент, Алмазарский р-н, ул. Янги Олмазор, 7а/36</t>
  </si>
  <si>
    <t xml:space="preserve">https://daikin-dc.uz/ ; https://daikin-dc.uz/about/</t>
  </si>
  <si>
    <t xml:space="preserve">Climate Expert</t>
  </si>
  <si>
    <t xml:space="preserve">Заявляет статус официального дистрибьютора Daikin; поставка, монтаж, сервис</t>
  </si>
  <si>
    <t xml:space="preserve">+998 78 888 00 08</t>
  </si>
  <si>
    <t xml:space="preserve">climate-expert.uz</t>
  </si>
  <si>
    <t xml:space="preserve">Ташкент, Юнусабадский р-н</t>
  </si>
  <si>
    <t xml:space="preserve">https://climate-expert.uz/site/contact</t>
  </si>
  <si>
    <t xml:space="preserve">Climate Center</t>
  </si>
  <si>
    <t xml:space="preserve">Ремонт чиллеров Daikin, Trane, Carrier и др.; бизнес-центры, заводы, медучреждения; также газовые котлы</t>
  </si>
  <si>
    <t xml:space="preserve">+998 90 849 22 22 (также Telegram)</t>
  </si>
  <si>
    <t xml:space="preserve">climatecenter.uz</t>
  </si>
  <si>
    <t xml:space="preserve">Ташкент, Сергелийский р-н, Чаштепа, 336</t>
  </si>
  <si>
    <t xml:space="preserve">https://climatecenter.uz/</t>
  </si>
  <si>
    <t xml:space="preserve">Climat-Montaj (Климат Монтаж)</t>
  </si>
  <si>
    <t xml:space="preserve">Производство воздуховодов, монтаж чиллеров, ремонт чиллеров и фанкойлов</t>
  </si>
  <si>
    <t xml:space="preserve">+998 71 502 01 32</t>
  </si>
  <si>
    <t xml:space="preserve">info@climat-montaj.uz; climat-montaj@mail.ru</t>
  </si>
  <si>
    <t xml:space="preserve">climat-montaj.uz</t>
  </si>
  <si>
    <t xml:space="preserve">Ташкентская обл., Янгиюльский р-н, пос. Чаманзор</t>
  </si>
  <si>
    <t xml:space="preserve">https://climat-montaj.uz/</t>
  </si>
  <si>
    <t xml:space="preserve">Офис за пределами Ташкента</t>
  </si>
  <si>
    <t xml:space="preserve">Mazza Project</t>
  </si>
  <si>
    <t xml:space="preserve">Проектирование, монтаж, пусконаладка и обслуживание вентиляции, кондиционирования, дымоудаления, холодоснабжения; 15 лет</t>
  </si>
  <si>
    <t xml:space="preserve">mazzaproject.uz</t>
  </si>
  <si>
    <t xml:space="preserve">https://mazzaproject.uz/</t>
  </si>
  <si>
    <t xml:space="preserve">Контакты на сайте (в поиске не отображались)</t>
  </si>
  <si>
    <t xml:space="preserve">Ventsystems</t>
  </si>
  <si>
    <t xml:space="preserve">Поставка чиллеров, монтаж и пусконаладка под ключ</t>
  </si>
  <si>
    <t xml:space="preserve">ventsystems.uz</t>
  </si>
  <si>
    <t xml:space="preserve">https://ventsystems.uz/chilleri</t>
  </si>
  <si>
    <t xml:space="preserve">PROF-LEND (ООО)</t>
  </si>
  <si>
    <t xml:space="preserve">Электрика / ТП</t>
  </si>
  <si>
    <t xml:space="preserve">Электротехническая лаборатория: испытания электроустановок до 220 кВ, замеры сопротивления изоляции, ремонт и обслуживание трансформаторов</t>
  </si>
  <si>
    <t xml:space="preserve">Регистрация электролаборатории — проверить</t>
  </si>
  <si>
    <t xml:space="preserve">+998 90 187 14 67</t>
  </si>
  <si>
    <t xml:space="preserve">admin@proflend.uz</t>
  </si>
  <si>
    <t xml:space="preserve">proflend.uz</t>
  </si>
  <si>
    <t xml:space="preserve">https://www.proflend.uz/</t>
  </si>
  <si>
    <t xml:space="preserve">Профиль: ТП и испытания; на пост 24/7 — уточнить, могут ли дать персонал</t>
  </si>
  <si>
    <t xml:space="preserve">SVET.UZ (OMEGA ENGINEERING GROUP)</t>
  </si>
  <si>
    <t xml:space="preserve">Электромонтаж, монтаж ТП/РП/КТП/БКТП, сборка электрощитов, опоры освещения; свои бригады</t>
  </si>
  <si>
    <t xml:space="preserve">+998 99 855 18 55; +998 99 825 82 56</t>
  </si>
  <si>
    <t xml:space="preserve">svet.uz</t>
  </si>
  <si>
    <t xml:space="preserve">Ташкент, Яккасарайский р-н, ул. Ш. Руставели, 150, 100121 (в каталогах есть и другие адреса)</t>
  </si>
  <si>
    <t xml:space="preserve">https://svet.uz/uslugi/montazh-tp-rp-rtp-ktp-bktp/ ; goldenpages.uz</t>
  </si>
  <si>
    <t xml:space="preserve">Монтажник: уточнить готовность к эксплуатации и посту 24/7</t>
  </si>
  <si>
    <t xml:space="preserve">Electrogrand Group (ООО)</t>
  </si>
  <si>
    <t xml:space="preserve">Изготовление, монтаж и пусконаладка КТП под ключ</t>
  </si>
  <si>
    <t xml:space="preserve">+998 98 309 69 00</t>
  </si>
  <si>
    <t xml:space="preserve">https://uz.bizorg.su/tashkent-rg/transformatornye-podstantsii-r</t>
  </si>
  <si>
    <t xml:space="preserve">ELEKTROMOTORS.UZ (Infinitely Hi-Tech Electro Motors)</t>
  </si>
  <si>
    <t xml:space="preserve">Монтаж, ремонт и наладка электрооборудования, перемотка двигателей; ремонт ТП КТП/КТПН (по сайту)</t>
  </si>
  <si>
    <t xml:space="preserve">+998 94 680 15 04</t>
  </si>
  <si>
    <t xml:space="preserve">elektromotors.uz</t>
  </si>
  <si>
    <t xml:space="preserve">Ташкентская обл., Кибрай, ул. Бабура, 7/1</t>
  </si>
  <si>
    <t xml:space="preserve">goldenpages.uz ; elektromotors.uz</t>
  </si>
  <si>
    <t xml:space="preserve">Офис в области</t>
  </si>
  <si>
    <t xml:space="preserve">Reshenie.uz</t>
  </si>
  <si>
    <t xml:space="preserve">Тех. эксплуатация зданий (FM)</t>
  </si>
  <si>
    <t xml:space="preserve">Комплексное обслуживание зданий: электро-, тепло-, водоснабжение, канализация, вентиляция; ведение журналов и актов, контроль подрядчиков; также пожарная безопасность, СКУД, IT</t>
  </si>
  <si>
    <t xml:space="preserve">+998 93 103 70 77 (Telegram/WhatsApp)</t>
  </si>
  <si>
    <t xml:space="preserve">reshenie.uz@mail.ru (на англ. версии — ssaash@mail.ru)</t>
  </si>
  <si>
    <t xml:space="preserve">reshenie.uz</t>
  </si>
  <si>
    <t xml:space="preserve">Ташкент, ул. Алишера Навои, 16А, офис 501</t>
  </si>
  <si>
    <t xml:space="preserve">https://reshenie.uz/ru/uslugi/obsluzhivanie-zdanij/ ; https://reshenie.uz/en/contacts/</t>
  </si>
  <si>
    <t xml:space="preserve">Один из немногих, кто прямо заявляет техэксплуатацию зданий. Юрлицо и масштаб проверить</t>
  </si>
  <si>
    <t xml:space="preserve">Eco-Service (service-eco.uz)</t>
  </si>
  <si>
    <t xml:space="preserve">Многопрофильный сервис</t>
  </si>
  <si>
    <t xml:space="preserve">Клининг для юрлиц (договор, НДС 12%, супервайзер на объект), мойка фасадов альпинистами (допуски EN 365), электрики, ремонт чиллеров и котлов</t>
  </si>
  <si>
    <t xml:space="preserve">+998 78 555 48 94; +998 88 113 87 87</t>
  </si>
  <si>
    <t xml:space="preserve">service-eco.uz</t>
  </si>
  <si>
    <t xml:space="preserve">Ташкент, Алмазар, массив 8/1</t>
  </si>
  <si>
    <t xml:space="preserve">https://service-eco.uz/business/ ; https://service-eco.uz/cleaning/pomeshhenij/dlya-yur-licz/</t>
  </si>
  <si>
    <t xml:space="preserve">Ориентир по цене (сайт): от 4 000 сум/м² за ежедневную поддерживающую уборку</t>
  </si>
  <si>
    <t xml:space="preserve">EUROSANT</t>
  </si>
  <si>
    <t xml:space="preserve">Сантехника</t>
  </si>
  <si>
    <t xml:space="preserve">Абонентское сантехническое обслуживание по договору (аутсорсинг) для организаций: отопление, водоснабжение, канализация</t>
  </si>
  <si>
    <t xml:space="preserve">eurosant.uz</t>
  </si>
  <si>
    <t xml:space="preserve">https://eurosant.uz/</t>
  </si>
  <si>
    <t xml:space="preserve">Profuborka (Asia Cleaning Service)</t>
  </si>
  <si>
    <t xml:space="preserve">Клининг</t>
  </si>
  <si>
    <t xml:space="preserve">Клининг для юрлиц, комплексная ежедневная уборка офисов; ~16 лет на рынке, ~100 сотрудников (по данным сайта)</t>
  </si>
  <si>
    <t xml:space="preserve">+998 71 200 03 28; +998 97 402 28 20; +998 97 037 28 20</t>
  </si>
  <si>
    <t xml:space="preserve">asiaclean@mail.ru</t>
  </si>
  <si>
    <t xml:space="preserve">profuborka.uz</t>
  </si>
  <si>
    <t xml:space="preserve">Facebook profuborka.uz</t>
  </si>
  <si>
    <t xml:space="preserve">Ташкент, ул. Бунёдкор, 42/1</t>
  </si>
  <si>
    <t xml:space="preserve">https://profuborka.uz/</t>
  </si>
  <si>
    <t xml:space="preserve">NewCleaner</t>
  </si>
  <si>
    <t xml:space="preserve">Клининг / территория</t>
  </si>
  <si>
    <t xml:space="preserve">Уборка офисов и коммерческих помещений; уборка, благоустройство и уход за территориями; ландшафтное озеленение коммерческих объектов</t>
  </si>
  <si>
    <t xml:space="preserve">+998 94 431 62 22; +998 33 100 22 00</t>
  </si>
  <si>
    <t xml:space="preserve">info@newcleaner.uz</t>
  </si>
  <si>
    <t xml:space="preserve">newcleaner.uz</t>
  </si>
  <si>
    <t xml:space="preserve">Telegram @newcleaneruz</t>
  </si>
  <si>
    <t xml:space="preserve">Ташкент, Мирзо-Улугбекский р-н, ул. Феруза, 13/86</t>
  </si>
  <si>
    <t xml:space="preserve">https://newcleaner.uz/contact/</t>
  </si>
  <si>
    <t xml:space="preserve">Может закрыть клининг MU30 и лот 4 MU30 одним подрядчиком</t>
  </si>
  <si>
    <t xml:space="preserve">Uborka24</t>
  </si>
  <si>
    <t xml:space="preserve">Коммерческий клининг: офисы, общие зоны бизнес-центров, ТЦ; мойка фасадов альпинистами</t>
  </si>
  <si>
    <t xml:space="preserve">+998 94 880 95 45 (заказ); +998 33 979 67 68 (жалобы)</t>
  </si>
  <si>
    <t xml:space="preserve">info@uborka24.uz</t>
  </si>
  <si>
    <t xml:space="preserve">uborka24.uz</t>
  </si>
  <si>
    <t xml:space="preserve">Ташкент, ул. Чилонзор, 87, 100070 (на сайте указаны и другие адреса)</t>
  </si>
  <si>
    <t xml:space="preserve">https://uborka24.uz/kontakty</t>
  </si>
  <si>
    <t xml:space="preserve">Sky Clean</t>
  </si>
  <si>
    <t xml:space="preserve">Работает только с юрлицами: коммерческий и промышленный клининг, фасады, высотные работы</t>
  </si>
  <si>
    <t xml:space="preserve">+998 99 099 99 83</t>
  </si>
  <si>
    <t xml:space="preserve">info@skyclean.uz</t>
  </si>
  <si>
    <t xml:space="preserve">skyclean.uz</t>
  </si>
  <si>
    <t xml:space="preserve">t.me/Skycleanuz</t>
  </si>
  <si>
    <t xml:space="preserve">Ташкент, Яшнабадский р-н, ул. Фаргона йули, 3-й проезд, 157</t>
  </si>
  <si>
    <t xml:space="preserve">https://skyclean.uz/</t>
  </si>
  <si>
    <t xml:space="preserve">MaxHelp</t>
  </si>
  <si>
    <t xml:space="preserve">Уборка офисов и коммерческих помещений</t>
  </si>
  <si>
    <t xml:space="preserve">+998 71 200 11 18; +998 99 229 14 55</t>
  </si>
  <si>
    <t xml:space="preserve">info@maxhelp.uz</t>
  </si>
  <si>
    <t xml:space="preserve">maxhelp.uz</t>
  </si>
  <si>
    <t xml:space="preserve">Telegram @max_help_uz</t>
  </si>
  <si>
    <t xml:space="preserve">Ташкент, Чиланзарский р-н, ул. Новза, 12</t>
  </si>
  <si>
    <t xml:space="preserve">https://uz.tgstat.com/ru/channel/@max_help_uz ; yellowpages.uz</t>
  </si>
  <si>
    <t xml:space="preserve">Cleaning Service Tashkent (ООО)</t>
  </si>
  <si>
    <t xml:space="preserve">Круглосуточная уборка офисов, мойка фасадов и окон на высоте; в каталоге также «инженерное обслуживание территорий, администрирование офисных зданий»</t>
  </si>
  <si>
    <t xml:space="preserve">90 995 00 44 (номер в каталоге неполный, проверить)</t>
  </si>
  <si>
    <t xml:space="preserve">cstashkent@mail.ru</t>
  </si>
  <si>
    <t xml:space="preserve">cleaning.uz</t>
  </si>
  <si>
    <t xml:space="preserve">Ташкент, Чиланзарский р-н, ул. Лутфий, 55, 100054</t>
  </si>
  <si>
    <t xml:space="preserve">https://www.yellowpages.uz/en/company/cleaning-service-tashkent-llc</t>
  </si>
  <si>
    <t xml:space="preserve">BioUborka (ООО «БИО УБОРКА»)</t>
  </si>
  <si>
    <t xml:space="preserve">Регулярная и разовая уборка коммерческих помещений, долгосрочное обслуживание</t>
  </si>
  <si>
    <t xml:space="preserve">biouborka.uz</t>
  </si>
  <si>
    <t xml:space="preserve">Ташкент, Мирабадский р-н</t>
  </si>
  <si>
    <t xml:space="preserve">https://biouborka.uz/kommercheskiy</t>
  </si>
  <si>
    <t xml:space="preserve">Ориентир по цене (КП 2023–2024): от 25 000 сум/м². Контакты на сайте</t>
  </si>
  <si>
    <t xml:space="preserve">Uborka-Tashkent</t>
  </si>
  <si>
    <t xml:space="preserve">С 2019 г.; договор с юрлицом, ежедневная уборка офисов по графику (утро/вечер/ночь)</t>
  </si>
  <si>
    <t xml:space="preserve">+998 90 969 63 60</t>
  </si>
  <si>
    <t xml:space="preserve">uborka-tashkent.uz</t>
  </si>
  <si>
    <t xml:space="preserve">https://uborka-tashkent.uz/klining-ofisov-v-tashkente/</t>
  </si>
  <si>
    <t xml:space="preserve">Becar Asset Management / Dako</t>
  </si>
  <si>
    <t xml:space="preserve">Клининг (FM-холдинг)</t>
  </si>
  <si>
    <t xml:space="preserve">Российский FM-холдинг; с 2024 г. клининг в Ташкенте вместе с Dako (офисы Яндекса, коворкинги, ~10 объектов)</t>
  </si>
  <si>
    <t xml:space="preserve">becar.pro</t>
  </si>
  <si>
    <t xml:space="preserve">https://daryo.uz/en/2024/03/09/russian-holding-becar-asset-management-ventures-into-uzbekistans-cleaning-services-market/</t>
  </si>
  <si>
    <t xml:space="preserve">Местные контакты не найдены; запрос через becar.pro</t>
  </si>
  <si>
    <t xml:space="preserve">ProGazon</t>
  </si>
  <si>
    <t xml:space="preserve">Озеленение</t>
  </si>
  <si>
    <t xml:space="preserve">Проектирование и устройство газонов, ландшафтный дизайн, комплексное обслуживание участков</t>
  </si>
  <si>
    <t xml:space="preserve">+998 97 712 88 89; +998 90 915 55 56</t>
  </si>
  <si>
    <t xml:space="preserve">info@progazon.uz</t>
  </si>
  <si>
    <t xml:space="preserve">progazon.uz</t>
  </si>
  <si>
    <t xml:space="preserve">https://progazon.uz/contact/</t>
  </si>
  <si>
    <t xml:space="preserve">Страница контактов старая (~2,4 года)</t>
  </si>
  <si>
    <t xml:space="preserve">Gazon Markazi (Ташкентский Газонный Центр)</t>
  </si>
  <si>
    <t xml:space="preserve">Стрижка, уход и мульчирование газонов, посев</t>
  </si>
  <si>
    <t xml:space="preserve">+998 90 175 47 20</t>
  </si>
  <si>
    <t xml:space="preserve">Ташкент, Мирабадский р-н, ул. Тараса Шевченко, 13а</t>
  </si>
  <si>
    <t xml:space="preserve">https://1062-uz.all.biz/ ; yellowpages.uz (GAZON MARKAZI ООО)</t>
  </si>
  <si>
    <t xml:space="preserve">EuroGazon</t>
  </si>
  <si>
    <t xml:space="preserve">Рулонный газон (10+ лет), укладка, автополив, ландшафтный дизайн</t>
  </si>
  <si>
    <t xml:space="preserve">eurogazon.uz</t>
  </si>
  <si>
    <t xml:space="preserve">https://www.prom.uz/ads/optom-gotovye-rulonnye-gazony/</t>
  </si>
  <si>
    <t xml:space="preserve">Ближе к поставке газона; про регулярный уход уточнить</t>
  </si>
  <si>
    <t xml:space="preserve">ECOMAKON</t>
  </si>
  <si>
    <t xml:space="preserve">Ландшафтный дизайн и озеленение (по каталогу)</t>
  </si>
  <si>
    <t xml:space="preserve">+998 97 788 XX XX (в каталоге скрыт)</t>
  </si>
  <si>
    <t xml:space="preserve">Ташкент, Мирабадский р-н, проезд Шахрисабз, 6</t>
  </si>
  <si>
    <t xml:space="preserve">goldenpages.uz</t>
  </si>
  <si>
    <t xml:space="preserve">Violet Building Construction (ООО)</t>
  </si>
  <si>
    <t xml:space="preserve">Фасад / альпинизм</t>
  </si>
  <si>
    <t xml:space="preserve">Промышленный альпинизм: мойка и покраска фасадов, 7 лет</t>
  </si>
  <si>
    <t xml:space="preserve">https://www.prom.uz/ads/promyshlennyy-alpinizm-pokraska-i-moyka-fasadov/</t>
  </si>
  <si>
    <t xml:space="preserve">Субподряд для мойки фасада (AT13, 2 раза в год). Контакты на странице объявления</t>
  </si>
  <si>
    <t xml:space="preserve">Tashkent Oil Lubricants (ООО) — высотные работы</t>
  </si>
  <si>
    <t xml:space="preserve">Промышленные альпинисты: мойка окон и фасадов, герметизация швов; указано «имеется лицензия»</t>
  </si>
  <si>
    <t xml:space="preserve">https://stroyka.uz/offer/vysotnye-raboty-promyslennyi-alpinist-imeetsya-licenziya-alpinistlar</t>
  </si>
  <si>
    <t xml:space="preserve">Субподряд по фасаду</t>
  </si>
  <si>
    <t xml:space="preserve">AT13 шорт-лист: приоритетные компании для запроса КП</t>
  </si>
  <si>
    <t xml:space="preserve">Контакты подтягиваются формулами из листа «Все компании». Жёлтые колонки — для отметок закупщика (статус — из списка).</t>
  </si>
  <si>
    <t xml:space="preserve">Приоритет</t>
  </si>
  <si>
    <t xml:space="preserve">Почему в списке</t>
  </si>
  <si>
    <t xml:space="preserve">Статус</t>
  </si>
  <si>
    <t xml:space="preserve">Дата запроса</t>
  </si>
  <si>
    <t xml:space="preserve">Комментарий</t>
  </si>
  <si>
    <t xml:space="preserve">Заявляет техэксплуатацию зданий целиком (электро/тепло/вода), ведение журналов</t>
  </si>
  <si>
    <t xml:space="preserve">Не связывались</t>
  </si>
  <si>
    <t xml:space="preserve">Монтаж ТП/КТП и щитов, свои бригады</t>
  </si>
  <si>
    <t xml:space="preserve">Электролаборатория, обслуживание трансформаторов — для ТП и замеров</t>
  </si>
  <si>
    <t xml:space="preserve">КТП под ключ, пусконаладка</t>
  </si>
  <si>
    <t xml:space="preserve">Электрики, работа с юрлицами</t>
  </si>
  <si>
    <t xml:space="preserve">Сервис чиллеров, фанкойлов, регламент вентиляции</t>
  </si>
  <si>
    <t xml:space="preserve">Чиллеры и фанкойлы, банковские офисы и гостиницы</t>
  </si>
  <si>
    <t xml:space="preserve">Авторизованный сервис Daikin, 34 специалиста</t>
  </si>
  <si>
    <t xml:space="preserve">ОВиК-инжиниринг, сервис</t>
  </si>
  <si>
    <t xml:space="preserve">Ремонт промышленных чиллеров разных марок</t>
  </si>
  <si>
    <t xml:space="preserve">Поставщик котлов Italheat, установленных на объекте</t>
  </si>
  <si>
    <t xml:space="preserve">ТО котельных, подготовка к отопительному сезону</t>
  </si>
  <si>
    <t xml:space="preserve">Котлы, насосы, теплообменники</t>
  </si>
  <si>
    <t xml:space="preserve">Эксплуатация ГРП/ГРПШ — субподряд по ГРП</t>
  </si>
  <si>
    <t xml:space="preserve">Сервис промышленных горелок — субподряд</t>
  </si>
  <si>
    <t xml:space="preserve">Если лифты KONE — официальный партнёр</t>
  </si>
  <si>
    <t xml:space="preserve">Если лифты Otis — официальный дистрибьютор</t>
  </si>
  <si>
    <t xml:space="preserve">В реестре разрешений; ТО лифтов любых марок</t>
  </si>
  <si>
    <t xml:space="preserve">В реестре разрешений</t>
  </si>
  <si>
    <t xml:space="preserve">Теплообменники, циркуляционные насосы (ИТП/ТП)</t>
  </si>
  <si>
    <t xml:space="preserve">Водоснабжение, канализация, отопление в составе техэксплуатации</t>
  </si>
  <si>
    <t xml:space="preserve">Промывка систем отопления, насосы</t>
  </si>
  <si>
    <t xml:space="preserve">Абонентская сантехника для организаций</t>
  </si>
  <si>
    <t xml:space="preserve">Уборка территории + озеленение коммерческих объектов</t>
  </si>
  <si>
    <t xml:space="preserve">Газоны и обслуживание участков</t>
  </si>
  <si>
    <t xml:space="preserve">Стрижка и уход за газонами</t>
  </si>
  <si>
    <t xml:space="preserve">Фасады и высотные работы (мойка фасада — субподряд)</t>
  </si>
  <si>
    <t xml:space="preserve">Мойка фасадов, обслуживание территорий</t>
  </si>
  <si>
    <t xml:space="preserve">MU30 тех шорт-лист: приоритетные компании для запроса КП</t>
  </si>
  <si>
    <t xml:space="preserve">Техэксплуатация зданий</t>
  </si>
  <si>
    <t xml:space="preserve">Электрики</t>
  </si>
  <si>
    <t xml:space="preserve">Электромонтаж</t>
  </si>
  <si>
    <t xml:space="preserve">Электролаборатория (замеры, поверка)</t>
  </si>
  <si>
    <t xml:space="preserve">Абонентская сантехника</t>
  </si>
  <si>
    <t xml:space="preserve">Водо- и теплоснабжение</t>
  </si>
  <si>
    <t xml:space="preserve">Если лифт KONE</t>
  </si>
  <si>
    <t xml:space="preserve">Если лифт Otis</t>
  </si>
  <si>
    <t xml:space="preserve">Территория + озеленение; можно объединить с клинингом</t>
  </si>
  <si>
    <t xml:space="preserve">Газоны</t>
  </si>
  <si>
    <t xml:space="preserve">Уход за газонами</t>
  </si>
  <si>
    <t xml:space="preserve">Обслуживание территорий</t>
  </si>
  <si>
    <t xml:space="preserve">MU30 клининг шорт-лист: приоритетные компании для запроса КП</t>
  </si>
  <si>
    <t xml:space="preserve">~100 сотрудников, ежедневная уборка офисов для юрлиц</t>
  </si>
  <si>
    <t xml:space="preserve">Офисы и коммерческие объекты; может взять и территорию</t>
  </si>
  <si>
    <t xml:space="preserve">Общие зоны бизнес-центров</t>
  </si>
  <si>
    <t xml:space="preserve">Только юрлица; высотные работы для генуборки</t>
  </si>
  <si>
    <t xml:space="preserve">Офисный клининг</t>
  </si>
  <si>
    <t xml:space="preserve">Круглосуточная уборка офисов, окна на высоте</t>
  </si>
  <si>
    <t xml:space="preserve">Договор с НДС, супервайзер на объект</t>
  </si>
  <si>
    <t xml:space="preserve">Источники, метод и что проверить</t>
  </si>
  <si>
    <t xml:space="preserve">Метод</t>
  </si>
  <si>
    <t xml:space="preserve">Веб-поиск (RU/UZ/EN) по категориям: лифты, котельные и ГРП, ОВиК и чиллеры, электрика и ТП, техэксплуатация зданий, клининг, озеленение, промальпинизм. Контакты взяты из сайтов компаний и каталогов (yellowpages.uz, goldenpages.uz, top.uz, gigal.uz, prom.uz, stroyka.uz) в том виде, в каком их показал поиск.</t>
  </si>
  <si>
    <t xml:space="preserve">Реестр лифтовых организаций</t>
  </si>
  <si>
    <t xml:space="preserve">gov.uz/oz/cirns — «Sanoat, radiatsiya va yadro xavfsizligi qo‘mitasi tomonidan liftlarni montaj va ta’mirlash ishlari bilan shug‘ullanish xuquqini beruvchi ruxsatnoma olgan tashkilotlar» (видна только часть списка).</t>
  </si>
  <si>
    <t xml:space="preserve">В реестре КПРЯБ, контакты не найдены</t>
  </si>
  <si>
    <t xml:space="preserve">ELEVATOR LIFT SERVIS, LIFT TA'MIR SERVIS, FAYZ LIFT, FAYZBEK LIFT SERVIS, SHIFT LIFT, GLOBAL LIFT, EVO LIFT SERVICE, ELZA LIFT TECHNICAL CO, ARSENAL LIFT MONTAJ, LIFT EKA BARAKA, TRUST QUALITY ELEVATORS, EXPERT ELEVATOR GROUP</t>
  </si>
  <si>
    <t xml:space="preserve">Недоступные домены</t>
  </si>
  <si>
    <t xml:space="preserve">goldenpages.uz, top.uz, orginfo.uz, xarid.uzex.uz, etender.uzex.uz, 2gis.uz, olx.uz, uzorg.info, license.gov.uz, my.gov.uz, gov.uz — при сборе данных были недоступны. При доступе к ним можно дополнительно: (1) найти победителей аналогичных лотов на etender.uzex.uz / xarid.uzex.uz; (2) подтянуть ИНН и директоров с orginfo.uz; (3) сверить лицензии.</t>
  </si>
  <si>
    <t xml:space="preserve">Пример аналогичного лота</t>
  </si>
  <si>
    <t xml:space="preserve">etender.uzex.uz/lot/477402 — мойка стеклянных фасадов и витражей ~12 800 м² методом промальпинизма, пр. Амира Темура, 107Б (2026).</t>
  </si>
  <si>
    <t xml:space="preserve">Новое регулирование лифтов</t>
  </si>
  <si>
    <t xml:space="preserve">По данным UzDaily, с 2027 г. ТО лифтов не реже раза в месяц, договоры регистрируются через платформу «Xavfsiz lift» (положение, утв. постановлением № 588 от 22.10.2026). Реквизиты постановления в поиске не подтверждены — сверить на lex.uz.</t>
  </si>
  <si>
    <t xml:space="preserve">Что проверить при первом контакте</t>
  </si>
  <si>
    <t xml:space="preserve">ИНН и регистрация юрлица; плательщик НДС; лицензии и разрешения по лоту; аналогичные объекты (бизнес-центры, госкомпании); штат под посты 24/7; готовность к осмотру объекта; работа по XKD/SLA с удержаниями.</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</si>
</sst>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595959"/>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sz val="11"/>
      <color rgb="FF000000"/>
      <name val="Arial"/>
      <family val="0"/>
      <charset val="1"/>
    </font>
    <font>
      <b val="true"/>
      <sz val="13"/>
      <color rgb="FF000000"/>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70"/>
    <col collapsed="false" customWidth="true" hidden="false" outlineLevel="0" max="5" min="4" style="0" width="14"/>
    <col collapsed="false" customWidth="true" hidden="false" outlineLevel="0" max="6" min="6"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row>
    <row r="5" customFormat="false" ht="23.85" hidden="false" customHeight="false" outlineLevel="0" collapsed="false">
      <c r="A5" s="4" t="s">
        <v>8</v>
      </c>
      <c r="B5" s="5" t="s">
        <v>9</v>
      </c>
      <c r="C5" s="5" t="s">
        <v>10</v>
      </c>
      <c r="D5" s="4" t="n">
        <f aca="false">COUNTIF('Все компании'!D5:D53,"●")</f>
        <v>1</v>
      </c>
      <c r="E5" s="4" t="n">
        <f aca="false">COUNTIF('Все компании'!D5:D53,"○")</f>
        <v>5</v>
      </c>
      <c r="F5" s="4" t="n">
        <f aca="false">COUNTIF('AT13 шорт-лист'!$A:$A,A5)</f>
        <v>5</v>
      </c>
    </row>
    <row r="6" customFormat="false" ht="35.05" hidden="false" customHeight="false" outlineLevel="0" collapsed="false">
      <c r="A6" s="4" t="s">
        <v>11</v>
      </c>
      <c r="B6" s="5" t="s">
        <v>12</v>
      </c>
      <c r="C6" s="5" t="s">
        <v>13</v>
      </c>
      <c r="D6" s="4" t="n">
        <f aca="false">COUNTIF('Все компании'!E5:E53,"●")</f>
        <v>3</v>
      </c>
      <c r="E6" s="4" t="n">
        <f aca="false">COUNTIF('Все компании'!E5:E53,"○")</f>
        <v>9</v>
      </c>
      <c r="F6" s="4" t="n">
        <f aca="false">COUNTIF('AT13 шорт-лист'!$A:$A,A6)</f>
        <v>5</v>
      </c>
    </row>
    <row r="7" customFormat="false" ht="35.05" hidden="false" customHeight="false" outlineLevel="0" collapsed="false">
      <c r="A7" s="4" t="s">
        <v>14</v>
      </c>
      <c r="B7" s="5" t="s">
        <v>15</v>
      </c>
      <c r="C7" s="5" t="s">
        <v>16</v>
      </c>
      <c r="D7" s="4" t="n">
        <f aca="false">COUNTIF('Все компании'!F5:F53,"●")</f>
        <v>3</v>
      </c>
      <c r="E7" s="4" t="n">
        <f aca="false">COUNTIF('Все компании'!F5:F53,"○")</f>
        <v>6</v>
      </c>
      <c r="F7" s="4" t="n">
        <f aca="false">COUNTIF('AT13 шорт-лист'!$A:$A,A7)</f>
        <v>5</v>
      </c>
    </row>
    <row r="8" customFormat="false" ht="23.85" hidden="false" customHeight="false" outlineLevel="0" collapsed="false">
      <c r="A8" s="4" t="s">
        <v>17</v>
      </c>
      <c r="B8" s="5" t="s">
        <v>18</v>
      </c>
      <c r="C8" s="5" t="s">
        <v>19</v>
      </c>
      <c r="D8" s="4" t="n">
        <f aca="false">COUNTIF('Все компании'!G5:G53,"●")</f>
        <v>7</v>
      </c>
      <c r="E8" s="4" t="n">
        <f aca="false">COUNTIF('Все компании'!G5:G53,"○")</f>
        <v>5</v>
      </c>
      <c r="F8" s="4" t="n">
        <f aca="false">COUNTIF('AT13 шорт-лист'!$A:$A,A8)</f>
        <v>5</v>
      </c>
    </row>
    <row r="9" customFormat="false" ht="23.85" hidden="false" customHeight="false" outlineLevel="0" collapsed="false">
      <c r="A9" s="4" t="s">
        <v>20</v>
      </c>
      <c r="B9" s="5" t="s">
        <v>21</v>
      </c>
      <c r="C9" s="5" t="s">
        <v>22</v>
      </c>
      <c r="D9" s="4" t="n">
        <f aca="false">COUNTIF('Все компании'!H5:H53,"●")</f>
        <v>2</v>
      </c>
      <c r="E9" s="4" t="n">
        <f aca="false">COUNTIF('Все компании'!H5:H53,"○")</f>
        <v>3</v>
      </c>
      <c r="F9" s="4" t="n">
        <f aca="false">COUNTIF('AT13 шорт-лист'!$A:$A,A9)</f>
        <v>4</v>
      </c>
    </row>
    <row r="10" customFormat="false" ht="35.05" hidden="false" customHeight="false" outlineLevel="0" collapsed="false">
      <c r="A10" s="4" t="s">
        <v>23</v>
      </c>
      <c r="B10" s="5" t="s">
        <v>24</v>
      </c>
      <c r="C10" s="5" t="s">
        <v>25</v>
      </c>
      <c r="D10" s="4" t="n">
        <f aca="false">COUNTIF('Все компании'!I5:I53,"●")</f>
        <v>2</v>
      </c>
      <c r="E10" s="4" t="n">
        <f aca="false">COUNTIF('Все компании'!I5:I53,"○")</f>
        <v>9</v>
      </c>
      <c r="F10" s="4" t="n">
        <f aca="false">COUNTIF('AT13 шорт-лист'!$A:$A,A10)</f>
        <v>5</v>
      </c>
    </row>
    <row r="11" customFormat="false" ht="23.85" hidden="false" customHeight="false" outlineLevel="0" collapsed="false">
      <c r="A11" s="4" t="s">
        <v>26</v>
      </c>
      <c r="B11" s="5" t="s">
        <v>27</v>
      </c>
      <c r="C11" s="5" t="s">
        <v>28</v>
      </c>
      <c r="D11" s="4" t="n">
        <f aca="false">COUNTIF('Все компании'!J5:J53,"●")</f>
        <v>1</v>
      </c>
      <c r="E11" s="4" t="n">
        <f aca="false">COUNTIF('Все компании'!J5:J53,"○")</f>
        <v>3</v>
      </c>
      <c r="F11" s="4" t="n">
        <f aca="false">COUNTIF('MU30 тех шорт-лист'!$A:$A,A11)</f>
        <v>4</v>
      </c>
    </row>
    <row r="12" customFormat="false" ht="15" hidden="false" customHeight="false" outlineLevel="0" collapsed="false">
      <c r="A12" s="4" t="s">
        <v>29</v>
      </c>
      <c r="B12" s="5" t="s">
        <v>30</v>
      </c>
      <c r="C12" s="5" t="s">
        <v>31</v>
      </c>
      <c r="D12" s="4" t="n">
        <f aca="false">COUNTIF('Все компании'!K5:K53,"●")</f>
        <v>1</v>
      </c>
      <c r="E12" s="4" t="n">
        <f aca="false">COUNTIF('Все компании'!K5:K53,"○")</f>
        <v>3</v>
      </c>
      <c r="F12" s="4" t="n">
        <f aca="false">COUNTIF('MU30 тех шорт-лист'!$A:$A,A12)</f>
        <v>4</v>
      </c>
    </row>
    <row r="13" customFormat="false" ht="15" hidden="false" customHeight="false" outlineLevel="0" collapsed="false">
      <c r="A13" s="4" t="s">
        <v>32</v>
      </c>
      <c r="B13" s="5" t="s">
        <v>33</v>
      </c>
      <c r="C13" s="5" t="s">
        <v>34</v>
      </c>
      <c r="D13" s="4" t="n">
        <f aca="false">COUNTIF('Все компании'!L5:L53,"●")</f>
        <v>7</v>
      </c>
      <c r="E13" s="4" t="n">
        <f aca="false">COUNTIF('Все компании'!L5:L53,"○")</f>
        <v>5</v>
      </c>
      <c r="F13" s="4" t="n">
        <f aca="false">COUNTIF('MU30 тех шорт-лист'!$A:$A,A13)</f>
        <v>5</v>
      </c>
    </row>
    <row r="14" customFormat="false" ht="23.85" hidden="false" customHeight="false" outlineLevel="0" collapsed="false">
      <c r="A14" s="4" t="s">
        <v>35</v>
      </c>
      <c r="B14" s="5" t="s">
        <v>36</v>
      </c>
      <c r="C14" s="5" t="s">
        <v>37</v>
      </c>
      <c r="D14" s="4" t="n">
        <f aca="false">COUNTIF('Все компании'!M5:M53,"●")</f>
        <v>3</v>
      </c>
      <c r="E14" s="4" t="n">
        <f aca="false">COUNTIF('Все компании'!M5:M53,"○")</f>
        <v>3</v>
      </c>
      <c r="F14" s="4" t="n">
        <f aca="false">COUNTIF('MU30 тех шорт-лист'!$A:$A,A14)</f>
        <v>4</v>
      </c>
    </row>
    <row r="15" customFormat="false" ht="23.85" hidden="false" customHeight="false" outlineLevel="0" collapsed="false">
      <c r="A15" s="4" t="s">
        <v>38</v>
      </c>
      <c r="B15" s="5" t="s">
        <v>39</v>
      </c>
      <c r="C15" s="5" t="s">
        <v>40</v>
      </c>
      <c r="D15" s="4" t="n">
        <f aca="false">COUNTIF('Все компании'!N5:N53,"●")</f>
        <v>8</v>
      </c>
      <c r="E15" s="4" t="n">
        <f aca="false">COUNTIF('Все компании'!N5:N53,"○")</f>
        <v>2</v>
      </c>
      <c r="F15" s="4" t="n">
        <f aca="false">COUNTIF('MU30 клининг шорт-лист'!$A:$A,A15)</f>
        <v>7</v>
      </c>
    </row>
    <row r="16" customFormat="false" ht="15" hidden="false" customHeight="false" outlineLevel="0" collapsed="false">
      <c r="A16" s="6" t="s">
        <v>41</v>
      </c>
      <c r="D16" s="7" t="n">
        <f aca="false">COUNTA('Все компании'!B5:B53)</f>
        <v>49</v>
      </c>
    </row>
    <row r="18" customFormat="false" ht="18" hidden="false" customHeight="true" outlineLevel="0" collapsed="false">
      <c r="A18" s="8" t="s">
        <v>42</v>
      </c>
      <c r="B18" s="8"/>
      <c r="C18" s="8"/>
      <c r="D18" s="8"/>
      <c r="E18" s="8"/>
      <c r="F18" s="8"/>
    </row>
    <row r="19" customFormat="false" ht="43.5" hidden="false" customHeight="true" outlineLevel="0" collapsed="false">
      <c r="A19" s="9" t="s">
        <v>43</v>
      </c>
      <c r="B19" s="9"/>
      <c r="C19" s="9"/>
      <c r="D19" s="9"/>
      <c r="E19" s="9"/>
      <c r="F19" s="9"/>
    </row>
    <row r="20" customFormat="false" ht="43.5" hidden="false" customHeight="true" outlineLevel="0" collapsed="false">
      <c r="A20" s="9" t="s">
        <v>44</v>
      </c>
      <c r="B20" s="9"/>
      <c r="C20" s="9"/>
      <c r="D20" s="9"/>
      <c r="E20" s="9"/>
      <c r="F20" s="9"/>
    </row>
    <row r="21" customFormat="false" ht="43.5" hidden="false" customHeight="true" outlineLevel="0" collapsed="false">
      <c r="A21" s="9" t="s">
        <v>45</v>
      </c>
      <c r="B21" s="9"/>
      <c r="C21" s="9"/>
      <c r="D21" s="9"/>
      <c r="E21" s="9"/>
      <c r="F21" s="9"/>
    </row>
    <row r="22" customFormat="false" ht="43.5" hidden="false" customHeight="true" outlineLevel="0" collapsed="false">
      <c r="A22" s="9" t="s">
        <v>46</v>
      </c>
      <c r="B22" s="9"/>
      <c r="C22" s="9"/>
      <c r="D22" s="9"/>
      <c r="E22" s="9"/>
      <c r="F22" s="9"/>
    </row>
    <row r="23" customFormat="false" ht="43.5" hidden="false" customHeight="true" outlineLevel="0" collapsed="false">
      <c r="A23" s="9" t="s">
        <v>47</v>
      </c>
      <c r="B23" s="9"/>
      <c r="C23" s="9"/>
      <c r="D23" s="9"/>
      <c r="E23" s="9"/>
      <c r="F23" s="9"/>
    </row>
    <row r="24" customFormat="false" ht="43.5" hidden="false" customHeight="true" outlineLevel="0" collapsed="false">
      <c r="A24" s="9" t="s">
        <v>48</v>
      </c>
      <c r="B24" s="9"/>
      <c r="C24" s="9"/>
      <c r="D24" s="9"/>
      <c r="E24" s="9"/>
      <c r="F24" s="9"/>
    </row>
    <row r="25" customFormat="false" ht="43.5" hidden="false" customHeight="true" outlineLevel="0" collapsed="false">
      <c r="A25" s="9" t="s">
        <v>49</v>
      </c>
      <c r="B25" s="9"/>
      <c r="C25" s="9"/>
      <c r="D25" s="9"/>
      <c r="E25" s="9"/>
      <c r="F25" s="9"/>
    </row>
    <row r="26" customFormat="false" ht="18" hidden="false" customHeight="true" outlineLevel="0" collapsed="false">
      <c r="A26" s="8" t="s">
        <v>50</v>
      </c>
      <c r="B26" s="8"/>
      <c r="C26" s="8"/>
      <c r="D26" s="8"/>
      <c r="E26" s="8"/>
      <c r="F26" s="8"/>
    </row>
    <row r="27" customFormat="false" ht="43.5" hidden="false" customHeight="true" outlineLevel="0" collapsed="false">
      <c r="A27" s="9" t="s">
        <v>51</v>
      </c>
      <c r="B27" s="9"/>
      <c r="C27" s="9"/>
      <c r="D27" s="9"/>
      <c r="E27" s="9"/>
      <c r="F27" s="9"/>
    </row>
    <row r="28" customFormat="false" ht="43.5" hidden="false" customHeight="true" outlineLevel="0" collapsed="false">
      <c r="A28" s="9" t="s">
        <v>52</v>
      </c>
      <c r="B28" s="9"/>
      <c r="C28" s="9"/>
      <c r="D28" s="9"/>
      <c r="E28" s="9"/>
      <c r="F28" s="9"/>
    </row>
    <row r="29" customFormat="false" ht="43.5" hidden="false" customHeight="true" outlineLevel="0" collapsed="false">
      <c r="A29" s="9" t="s">
        <v>53</v>
      </c>
      <c r="B29" s="9"/>
      <c r="C29" s="9"/>
      <c r="D29" s="9"/>
      <c r="E29" s="9"/>
      <c r="F29" s="9"/>
    </row>
  </sheetData>
  <mergeCells count="12">
    <mergeCell ref="A18:F18"/>
    <mergeCell ref="A19:F19"/>
    <mergeCell ref="A20:F20"/>
    <mergeCell ref="A21:F21"/>
    <mergeCell ref="A22:F22"/>
    <mergeCell ref="A23:F23"/>
    <mergeCell ref="A24:F24"/>
    <mergeCell ref="A25:F25"/>
    <mergeCell ref="A26:F26"/>
    <mergeCell ref="A27:F27"/>
    <mergeCell ref="A28:F28"/>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8"/>
    <col collapsed="false" customWidth="true" hidden="false" outlineLevel="0" max="14" min="4" style="0" width="8"/>
    <col collapsed="false" customWidth="true" hidden="false" outlineLevel="0" max="15" min="15" style="0" width="48"/>
    <col collapsed="false" customWidth="true" hidden="false" outlineLevel="0" max="16" min="16" style="0" width="30"/>
    <col collapsed="false" customWidth="true" hidden="false" outlineLevel="0" max="18" min="17" style="0" width="28"/>
    <col collapsed="false" customWidth="true" hidden="false" outlineLevel="0" max="19" min="19" style="0" width="20"/>
    <col collapsed="false" customWidth="true" hidden="false" outlineLevel="0" max="20" min="20" style="0" width="24"/>
    <col collapsed="false" customWidth="true" hidden="false" outlineLevel="0" max="21" min="21" style="0" width="36"/>
    <col collapsed="false" customWidth="true" hidden="false" outlineLevel="0" max="22" min="22" style="0" width="40"/>
    <col collapsed="false" customWidth="true" hidden="false" outlineLevel="0" max="23" min="23" style="0" width="12"/>
    <col collapsed="false" customWidth="true" hidden="false" outlineLevel="0" max="24" min="24" style="0" width="36"/>
    <col collapsed="false" customWidth="true" hidden="false" outlineLevel="0" max="25" min="25" style="0" width="22"/>
  </cols>
  <sheetData>
    <row r="1" customFormat="false" ht="16.15" hidden="false" customHeight="false" outlineLevel="0" collapsed="false">
      <c r="A1" s="10" t="s">
        <v>54</v>
      </c>
    </row>
    <row r="2" customFormat="false" ht="15" hidden="false" customHeight="false" outlineLevel="0" collapsed="false">
      <c r="A2" s="11" t="s">
        <v>55</v>
      </c>
    </row>
    <row r="4" customFormat="false" ht="42" hidden="false" customHeight="true" outlineLevel="0" collapsed="false">
      <c r="A4" s="3" t="s">
        <v>56</v>
      </c>
      <c r="B4" s="3" t="s">
        <v>57</v>
      </c>
      <c r="C4" s="3" t="s">
        <v>58</v>
      </c>
      <c r="D4" s="3" t="s">
        <v>8</v>
      </c>
      <c r="E4" s="3" t="s">
        <v>11</v>
      </c>
      <c r="F4" s="3" t="s">
        <v>14</v>
      </c>
      <c r="G4" s="3" t="s">
        <v>17</v>
      </c>
      <c r="H4" s="3" t="s">
        <v>20</v>
      </c>
      <c r="I4" s="3" t="s">
        <v>23</v>
      </c>
      <c r="J4" s="3" t="s">
        <v>26</v>
      </c>
      <c r="K4" s="3" t="s">
        <v>29</v>
      </c>
      <c r="L4" s="3" t="s">
        <v>32</v>
      </c>
      <c r="M4" s="3" t="s">
        <v>35</v>
      </c>
      <c r="N4" s="3" t="s">
        <v>38</v>
      </c>
      <c r="O4" s="3" t="s">
        <v>59</v>
      </c>
      <c r="P4" s="3" t="s">
        <v>60</v>
      </c>
      <c r="Q4" s="3" t="s">
        <v>61</v>
      </c>
      <c r="R4" s="3" t="s">
        <v>62</v>
      </c>
      <c r="S4" s="3" t="s">
        <v>63</v>
      </c>
      <c r="T4" s="3" t="s">
        <v>64</v>
      </c>
      <c r="U4" s="3" t="s">
        <v>65</v>
      </c>
      <c r="V4" s="3" t="s">
        <v>66</v>
      </c>
      <c r="W4" s="3" t="s">
        <v>67</v>
      </c>
      <c r="X4" s="3" t="s">
        <v>68</v>
      </c>
      <c r="Y4" s="3" t="s">
        <v>69</v>
      </c>
    </row>
    <row r="5" customFormat="false" ht="35.05" hidden="false" customHeight="false" outlineLevel="0" collapsed="false">
      <c r="A5" s="4" t="n">
        <v>1</v>
      </c>
      <c r="B5" s="5" t="s">
        <v>70</v>
      </c>
      <c r="C5" s="5" t="s">
        <v>71</v>
      </c>
      <c r="D5" s="4"/>
      <c r="E5" s="4"/>
      <c r="F5" s="4"/>
      <c r="G5" s="4" t="s">
        <v>72</v>
      </c>
      <c r="H5" s="4"/>
      <c r="I5" s="4"/>
      <c r="J5" s="4"/>
      <c r="K5" s="4"/>
      <c r="L5" s="4" t="s">
        <v>72</v>
      </c>
      <c r="M5" s="4"/>
      <c r="N5" s="4"/>
      <c r="O5" s="5" t="s">
        <v>73</v>
      </c>
      <c r="P5" s="5" t="s">
        <v>74</v>
      </c>
      <c r="Q5" s="5" t="s">
        <v>75</v>
      </c>
      <c r="R5" s="5" t="s">
        <v>76</v>
      </c>
      <c r="S5" s="5" t="s">
        <v>77</v>
      </c>
      <c r="T5" s="5" t="s">
        <v>78</v>
      </c>
      <c r="U5" s="5" t="s">
        <v>79</v>
      </c>
      <c r="V5" s="5" t="s">
        <v>80</v>
      </c>
      <c r="W5" s="4" t="s">
        <v>81</v>
      </c>
      <c r="X5" s="5" t="s">
        <v>82</v>
      </c>
      <c r="Y5" s="5" t="s">
        <v>83</v>
      </c>
    </row>
    <row r="6" customFormat="false" ht="35.05" hidden="false" customHeight="false" outlineLevel="0" collapsed="false">
      <c r="A6" s="4" t="n">
        <v>2</v>
      </c>
      <c r="B6" s="5" t="s">
        <v>84</v>
      </c>
      <c r="C6" s="5" t="s">
        <v>71</v>
      </c>
      <c r="D6" s="4"/>
      <c r="E6" s="4"/>
      <c r="F6" s="4"/>
      <c r="G6" s="4" t="s">
        <v>72</v>
      </c>
      <c r="H6" s="4"/>
      <c r="I6" s="4"/>
      <c r="J6" s="4"/>
      <c r="K6" s="4"/>
      <c r="L6" s="4" t="s">
        <v>72</v>
      </c>
      <c r="M6" s="4"/>
      <c r="N6" s="4"/>
      <c r="O6" s="5" t="s">
        <v>85</v>
      </c>
      <c r="P6" s="5" t="s">
        <v>86</v>
      </c>
      <c r="Q6" s="5" t="s">
        <v>87</v>
      </c>
      <c r="R6" s="5" t="s">
        <v>88</v>
      </c>
      <c r="S6" s="5" t="s">
        <v>89</v>
      </c>
      <c r="T6" s="5" t="s">
        <v>90</v>
      </c>
      <c r="U6" s="5" t="s">
        <v>91</v>
      </c>
      <c r="V6" s="5" t="s">
        <v>92</v>
      </c>
      <c r="W6" s="4" t="s">
        <v>81</v>
      </c>
      <c r="X6" s="5"/>
      <c r="Y6" s="5" t="s">
        <v>83</v>
      </c>
    </row>
    <row r="7" customFormat="false" ht="35.05" hidden="false" customHeight="false" outlineLevel="0" collapsed="false">
      <c r="A7" s="4" t="n">
        <v>3</v>
      </c>
      <c r="B7" s="5" t="s">
        <v>93</v>
      </c>
      <c r="C7" s="5" t="s">
        <v>71</v>
      </c>
      <c r="D7" s="4"/>
      <c r="E7" s="4"/>
      <c r="F7" s="4"/>
      <c r="G7" s="4" t="s">
        <v>72</v>
      </c>
      <c r="H7" s="4"/>
      <c r="I7" s="4"/>
      <c r="J7" s="4"/>
      <c r="K7" s="4"/>
      <c r="L7" s="4" t="s">
        <v>72</v>
      </c>
      <c r="M7" s="4"/>
      <c r="N7" s="4"/>
      <c r="O7" s="5" t="s">
        <v>94</v>
      </c>
      <c r="P7" s="5" t="s">
        <v>95</v>
      </c>
      <c r="Q7" s="5" t="s">
        <v>96</v>
      </c>
      <c r="R7" s="5" t="s">
        <v>97</v>
      </c>
      <c r="S7" s="5" t="s">
        <v>98</v>
      </c>
      <c r="T7" s="5" t="s">
        <v>90</v>
      </c>
      <c r="U7" s="5" t="s">
        <v>99</v>
      </c>
      <c r="V7" s="5" t="s">
        <v>100</v>
      </c>
      <c r="W7" s="4" t="s">
        <v>81</v>
      </c>
      <c r="X7" s="5" t="s">
        <v>101</v>
      </c>
      <c r="Y7" s="5" t="s">
        <v>83</v>
      </c>
    </row>
    <row r="8" customFormat="false" ht="35.05" hidden="false" customHeight="false" outlineLevel="0" collapsed="false">
      <c r="A8" s="4" t="n">
        <v>4</v>
      </c>
      <c r="B8" s="5" t="s">
        <v>102</v>
      </c>
      <c r="C8" s="5" t="s">
        <v>71</v>
      </c>
      <c r="D8" s="4"/>
      <c r="E8" s="4"/>
      <c r="F8" s="4"/>
      <c r="G8" s="4" t="s">
        <v>72</v>
      </c>
      <c r="H8" s="4"/>
      <c r="I8" s="4"/>
      <c r="J8" s="4"/>
      <c r="K8" s="4"/>
      <c r="L8" s="4" t="s">
        <v>72</v>
      </c>
      <c r="M8" s="4"/>
      <c r="N8" s="4"/>
      <c r="O8" s="5" t="s">
        <v>103</v>
      </c>
      <c r="P8" s="5" t="s">
        <v>104</v>
      </c>
      <c r="Q8" s="5" t="s">
        <v>105</v>
      </c>
      <c r="R8" s="5" t="s">
        <v>106</v>
      </c>
      <c r="S8" s="5" t="s">
        <v>90</v>
      </c>
      <c r="T8" s="5" t="s">
        <v>90</v>
      </c>
      <c r="U8" s="5" t="s">
        <v>107</v>
      </c>
      <c r="V8" s="5" t="s">
        <v>108</v>
      </c>
      <c r="W8" s="4" t="s">
        <v>109</v>
      </c>
      <c r="X8" s="5"/>
      <c r="Y8" s="5" t="s">
        <v>83</v>
      </c>
    </row>
    <row r="9" customFormat="false" ht="35.05" hidden="false" customHeight="false" outlineLevel="0" collapsed="false">
      <c r="A9" s="4" t="n">
        <v>5</v>
      </c>
      <c r="B9" s="5" t="s">
        <v>110</v>
      </c>
      <c r="C9" s="5" t="s">
        <v>71</v>
      </c>
      <c r="D9" s="4"/>
      <c r="E9" s="4"/>
      <c r="F9" s="4"/>
      <c r="G9" s="4" t="s">
        <v>72</v>
      </c>
      <c r="H9" s="4"/>
      <c r="I9" s="4"/>
      <c r="J9" s="4"/>
      <c r="K9" s="4"/>
      <c r="L9" s="4" t="s">
        <v>72</v>
      </c>
      <c r="M9" s="4"/>
      <c r="N9" s="4"/>
      <c r="O9" s="5" t="s">
        <v>111</v>
      </c>
      <c r="P9" s="5" t="s">
        <v>112</v>
      </c>
      <c r="Q9" s="5" t="s">
        <v>113</v>
      </c>
      <c r="R9" s="5" t="s">
        <v>90</v>
      </c>
      <c r="S9" s="5" t="s">
        <v>114</v>
      </c>
      <c r="T9" s="5" t="s">
        <v>90</v>
      </c>
      <c r="U9" s="5" t="s">
        <v>115</v>
      </c>
      <c r="V9" s="5" t="s">
        <v>116</v>
      </c>
      <c r="W9" s="4" t="s">
        <v>109</v>
      </c>
      <c r="X9" s="5"/>
      <c r="Y9" s="5" t="s">
        <v>83</v>
      </c>
    </row>
    <row r="10" customFormat="false" ht="23.85" hidden="false" customHeight="false" outlineLevel="0" collapsed="false">
      <c r="A10" s="4" t="n">
        <v>6</v>
      </c>
      <c r="B10" s="5" t="s">
        <v>117</v>
      </c>
      <c r="C10" s="5" t="s">
        <v>71</v>
      </c>
      <c r="D10" s="4"/>
      <c r="E10" s="4"/>
      <c r="F10" s="4"/>
      <c r="G10" s="4" t="s">
        <v>72</v>
      </c>
      <c r="H10" s="4"/>
      <c r="I10" s="4"/>
      <c r="J10" s="4"/>
      <c r="K10" s="4"/>
      <c r="L10" s="4" t="s">
        <v>72</v>
      </c>
      <c r="M10" s="4"/>
      <c r="N10" s="4"/>
      <c r="O10" s="5" t="s">
        <v>118</v>
      </c>
      <c r="P10" s="5" t="s">
        <v>119</v>
      </c>
      <c r="Q10" s="5" t="s">
        <v>120</v>
      </c>
      <c r="R10" s="5" t="s">
        <v>90</v>
      </c>
      <c r="S10" s="5" t="s">
        <v>90</v>
      </c>
      <c r="T10" s="5" t="s">
        <v>121</v>
      </c>
      <c r="U10" s="5" t="s">
        <v>122</v>
      </c>
      <c r="V10" s="5" t="s">
        <v>123</v>
      </c>
      <c r="W10" s="4" t="s">
        <v>109</v>
      </c>
      <c r="X10" s="5"/>
      <c r="Y10" s="5" t="s">
        <v>83</v>
      </c>
    </row>
    <row r="11" customFormat="false" ht="35.05" hidden="false" customHeight="false" outlineLevel="0" collapsed="false">
      <c r="A11" s="4" t="n">
        <v>7</v>
      </c>
      <c r="B11" s="5" t="s">
        <v>124</v>
      </c>
      <c r="C11" s="5" t="s">
        <v>71</v>
      </c>
      <c r="D11" s="4"/>
      <c r="E11" s="4"/>
      <c r="F11" s="4"/>
      <c r="G11" s="4" t="s">
        <v>72</v>
      </c>
      <c r="H11" s="4"/>
      <c r="I11" s="4"/>
      <c r="J11" s="4"/>
      <c r="K11" s="4"/>
      <c r="L11" s="4" t="s">
        <v>72</v>
      </c>
      <c r="M11" s="4"/>
      <c r="N11" s="4"/>
      <c r="O11" s="5" t="s">
        <v>125</v>
      </c>
      <c r="P11" s="5" t="s">
        <v>126</v>
      </c>
      <c r="Q11" s="5" t="s">
        <v>127</v>
      </c>
      <c r="R11" s="5" t="s">
        <v>128</v>
      </c>
      <c r="S11" s="5" t="s">
        <v>129</v>
      </c>
      <c r="T11" s="5" t="s">
        <v>90</v>
      </c>
      <c r="U11" s="5" t="s">
        <v>130</v>
      </c>
      <c r="V11" s="5" t="s">
        <v>131</v>
      </c>
      <c r="W11" s="4" t="s">
        <v>109</v>
      </c>
      <c r="X11" s="5"/>
      <c r="Y11" s="5" t="s">
        <v>83</v>
      </c>
    </row>
    <row r="12" customFormat="false" ht="23.85" hidden="false" customHeight="false" outlineLevel="0" collapsed="false">
      <c r="A12" s="4" t="n">
        <v>8</v>
      </c>
      <c r="B12" s="5" t="s">
        <v>132</v>
      </c>
      <c r="C12" s="5" t="s">
        <v>71</v>
      </c>
      <c r="D12" s="4"/>
      <c r="E12" s="4"/>
      <c r="F12" s="4"/>
      <c r="G12" s="4" t="s">
        <v>133</v>
      </c>
      <c r="H12" s="4"/>
      <c r="I12" s="4"/>
      <c r="J12" s="4"/>
      <c r="K12" s="4"/>
      <c r="L12" s="4" t="s">
        <v>133</v>
      </c>
      <c r="M12" s="4"/>
      <c r="N12" s="4"/>
      <c r="O12" s="5" t="s">
        <v>134</v>
      </c>
      <c r="P12" s="5" t="s">
        <v>126</v>
      </c>
      <c r="Q12" s="5" t="s">
        <v>135</v>
      </c>
      <c r="R12" s="5" t="s">
        <v>90</v>
      </c>
      <c r="S12" s="5" t="s">
        <v>136</v>
      </c>
      <c r="T12" s="5" t="s">
        <v>90</v>
      </c>
      <c r="U12" s="5" t="s">
        <v>115</v>
      </c>
      <c r="V12" s="5" t="s">
        <v>137</v>
      </c>
      <c r="W12" s="4" t="s">
        <v>109</v>
      </c>
      <c r="X12" s="5"/>
      <c r="Y12" s="5" t="s">
        <v>83</v>
      </c>
    </row>
    <row r="13" customFormat="false" ht="35.05" hidden="false" customHeight="false" outlineLevel="0" collapsed="false">
      <c r="A13" s="4" t="n">
        <v>9</v>
      </c>
      <c r="B13" s="5" t="s">
        <v>138</v>
      </c>
      <c r="C13" s="5" t="s">
        <v>71</v>
      </c>
      <c r="D13" s="4"/>
      <c r="E13" s="4"/>
      <c r="F13" s="4"/>
      <c r="G13" s="4" t="s">
        <v>133</v>
      </c>
      <c r="H13" s="4"/>
      <c r="I13" s="4"/>
      <c r="J13" s="4"/>
      <c r="K13" s="4"/>
      <c r="L13" s="4" t="s">
        <v>133</v>
      </c>
      <c r="M13" s="4"/>
      <c r="N13" s="4"/>
      <c r="O13" s="5" t="s">
        <v>139</v>
      </c>
      <c r="P13" s="5" t="s">
        <v>140</v>
      </c>
      <c r="Q13" s="5" t="s">
        <v>141</v>
      </c>
      <c r="R13" s="5" t="s">
        <v>90</v>
      </c>
      <c r="S13" s="5" t="s">
        <v>90</v>
      </c>
      <c r="T13" s="5" t="s">
        <v>90</v>
      </c>
      <c r="U13" s="5" t="s">
        <v>142</v>
      </c>
      <c r="V13" s="5" t="s">
        <v>143</v>
      </c>
      <c r="W13" s="4" t="s">
        <v>144</v>
      </c>
      <c r="X13" s="5"/>
      <c r="Y13" s="5" t="s">
        <v>83</v>
      </c>
    </row>
    <row r="14" customFormat="false" ht="23.85" hidden="false" customHeight="false" outlineLevel="0" collapsed="false">
      <c r="A14" s="4" t="n">
        <v>10</v>
      </c>
      <c r="B14" s="5" t="s">
        <v>145</v>
      </c>
      <c r="C14" s="5" t="s">
        <v>71</v>
      </c>
      <c r="D14" s="4"/>
      <c r="E14" s="4"/>
      <c r="F14" s="4"/>
      <c r="G14" s="4" t="s">
        <v>133</v>
      </c>
      <c r="H14" s="4"/>
      <c r="I14" s="4"/>
      <c r="J14" s="4"/>
      <c r="K14" s="4"/>
      <c r="L14" s="4" t="s">
        <v>133</v>
      </c>
      <c r="M14" s="4"/>
      <c r="N14" s="4"/>
      <c r="O14" s="5" t="s">
        <v>146</v>
      </c>
      <c r="P14" s="5" t="s">
        <v>126</v>
      </c>
      <c r="Q14" s="5" t="s">
        <v>147</v>
      </c>
      <c r="R14" s="5" t="s">
        <v>90</v>
      </c>
      <c r="S14" s="5" t="s">
        <v>90</v>
      </c>
      <c r="T14" s="5" t="s">
        <v>90</v>
      </c>
      <c r="U14" s="5" t="s">
        <v>115</v>
      </c>
      <c r="V14" s="5" t="s">
        <v>148</v>
      </c>
      <c r="W14" s="4" t="s">
        <v>144</v>
      </c>
      <c r="X14" s="5"/>
      <c r="Y14" s="5" t="s">
        <v>83</v>
      </c>
    </row>
    <row r="15" customFormat="false" ht="23.85" hidden="false" customHeight="false" outlineLevel="0" collapsed="false">
      <c r="A15" s="4" t="n">
        <v>11</v>
      </c>
      <c r="B15" s="5" t="s">
        <v>149</v>
      </c>
      <c r="C15" s="5" t="s">
        <v>71</v>
      </c>
      <c r="D15" s="4"/>
      <c r="E15" s="4"/>
      <c r="F15" s="4"/>
      <c r="G15" s="4" t="s">
        <v>133</v>
      </c>
      <c r="H15" s="4"/>
      <c r="I15" s="4"/>
      <c r="J15" s="4"/>
      <c r="K15" s="4"/>
      <c r="L15" s="4" t="s">
        <v>133</v>
      </c>
      <c r="M15" s="4"/>
      <c r="N15" s="4"/>
      <c r="O15" s="5" t="s">
        <v>150</v>
      </c>
      <c r="P15" s="5" t="s">
        <v>126</v>
      </c>
      <c r="Q15" s="5" t="s">
        <v>151</v>
      </c>
      <c r="R15" s="5" t="s">
        <v>90</v>
      </c>
      <c r="S15" s="5" t="s">
        <v>90</v>
      </c>
      <c r="T15" s="5" t="s">
        <v>90</v>
      </c>
      <c r="U15" s="5" t="s">
        <v>115</v>
      </c>
      <c r="V15" s="5" t="s">
        <v>152</v>
      </c>
      <c r="W15" s="4" t="s">
        <v>144</v>
      </c>
      <c r="X15" s="5"/>
      <c r="Y15" s="5" t="s">
        <v>83</v>
      </c>
    </row>
    <row r="16" customFormat="false" ht="35.05" hidden="false" customHeight="false" outlineLevel="0" collapsed="false">
      <c r="A16" s="4" t="n">
        <v>12</v>
      </c>
      <c r="B16" s="5" t="s">
        <v>153</v>
      </c>
      <c r="C16" s="5" t="s">
        <v>71</v>
      </c>
      <c r="D16" s="4"/>
      <c r="E16" s="4"/>
      <c r="F16" s="4"/>
      <c r="G16" s="4" t="s">
        <v>133</v>
      </c>
      <c r="H16" s="4"/>
      <c r="I16" s="4"/>
      <c r="J16" s="4"/>
      <c r="K16" s="4"/>
      <c r="L16" s="4" t="s">
        <v>133</v>
      </c>
      <c r="M16" s="4"/>
      <c r="N16" s="4"/>
      <c r="O16" s="5" t="s">
        <v>154</v>
      </c>
      <c r="P16" s="5" t="s">
        <v>155</v>
      </c>
      <c r="Q16" s="5" t="s">
        <v>156</v>
      </c>
      <c r="R16" s="5" t="s">
        <v>157</v>
      </c>
      <c r="S16" s="5" t="s">
        <v>158</v>
      </c>
      <c r="T16" s="5" t="s">
        <v>90</v>
      </c>
      <c r="U16" s="5" t="s">
        <v>159</v>
      </c>
      <c r="V16" s="5" t="s">
        <v>160</v>
      </c>
      <c r="W16" s="4" t="s">
        <v>144</v>
      </c>
      <c r="X16" s="5" t="s">
        <v>161</v>
      </c>
      <c r="Y16" s="5" t="s">
        <v>83</v>
      </c>
    </row>
    <row r="17" customFormat="false" ht="46.25" hidden="false" customHeight="false" outlineLevel="0" collapsed="false">
      <c r="A17" s="4" t="n">
        <v>13</v>
      </c>
      <c r="B17" s="5" t="s">
        <v>162</v>
      </c>
      <c r="C17" s="5" t="s">
        <v>163</v>
      </c>
      <c r="D17" s="4"/>
      <c r="E17" s="4"/>
      <c r="F17" s="4" t="s">
        <v>72</v>
      </c>
      <c r="G17" s="4"/>
      <c r="H17" s="4" t="s">
        <v>133</v>
      </c>
      <c r="I17" s="4"/>
      <c r="J17" s="4"/>
      <c r="K17" s="4"/>
      <c r="L17" s="4"/>
      <c r="M17" s="4"/>
      <c r="N17" s="4"/>
      <c r="O17" s="5" t="s">
        <v>164</v>
      </c>
      <c r="P17" s="5" t="s">
        <v>165</v>
      </c>
      <c r="Q17" s="5" t="s">
        <v>166</v>
      </c>
      <c r="R17" s="5" t="s">
        <v>167</v>
      </c>
      <c r="S17" s="5" t="s">
        <v>168</v>
      </c>
      <c r="T17" s="5" t="s">
        <v>90</v>
      </c>
      <c r="U17" s="5" t="s">
        <v>169</v>
      </c>
      <c r="V17" s="5" t="s">
        <v>170</v>
      </c>
      <c r="W17" s="4" t="s">
        <v>109</v>
      </c>
      <c r="X17" s="5" t="s">
        <v>171</v>
      </c>
      <c r="Y17" s="5" t="s">
        <v>83</v>
      </c>
    </row>
    <row r="18" customFormat="false" ht="35.05" hidden="false" customHeight="false" outlineLevel="0" collapsed="false">
      <c r="A18" s="4" t="n">
        <v>14</v>
      </c>
      <c r="B18" s="5" t="s">
        <v>172</v>
      </c>
      <c r="C18" s="5" t="s">
        <v>173</v>
      </c>
      <c r="D18" s="4"/>
      <c r="E18" s="4" t="s">
        <v>72</v>
      </c>
      <c r="F18" s="4" t="s">
        <v>72</v>
      </c>
      <c r="G18" s="4"/>
      <c r="H18" s="4" t="s">
        <v>133</v>
      </c>
      <c r="I18" s="4"/>
      <c r="J18" s="4"/>
      <c r="K18" s="4"/>
      <c r="L18" s="4"/>
      <c r="M18" s="4"/>
      <c r="N18" s="4"/>
      <c r="O18" s="5" t="s">
        <v>174</v>
      </c>
      <c r="P18" s="5" t="s">
        <v>175</v>
      </c>
      <c r="Q18" s="5" t="s">
        <v>176</v>
      </c>
      <c r="R18" s="5" t="s">
        <v>177</v>
      </c>
      <c r="S18" s="5" t="s">
        <v>178</v>
      </c>
      <c r="T18" s="5" t="s">
        <v>90</v>
      </c>
      <c r="U18" s="5" t="s">
        <v>179</v>
      </c>
      <c r="V18" s="5" t="s">
        <v>180</v>
      </c>
      <c r="W18" s="4" t="s">
        <v>81</v>
      </c>
      <c r="X18" s="5" t="s">
        <v>181</v>
      </c>
      <c r="Y18" s="5" t="s">
        <v>83</v>
      </c>
    </row>
    <row r="19" customFormat="false" ht="35.05" hidden="false" customHeight="false" outlineLevel="0" collapsed="false">
      <c r="A19" s="4" t="n">
        <v>15</v>
      </c>
      <c r="B19" s="5" t="s">
        <v>182</v>
      </c>
      <c r="C19" s="5" t="s">
        <v>183</v>
      </c>
      <c r="D19" s="4"/>
      <c r="E19" s="4" t="s">
        <v>133</v>
      </c>
      <c r="F19" s="4" t="s">
        <v>72</v>
      </c>
      <c r="G19" s="4"/>
      <c r="H19" s="4" t="s">
        <v>72</v>
      </c>
      <c r="I19" s="4"/>
      <c r="J19" s="4"/>
      <c r="K19" s="4" t="s">
        <v>133</v>
      </c>
      <c r="L19" s="4"/>
      <c r="M19" s="4"/>
      <c r="N19" s="4"/>
      <c r="O19" s="5" t="s">
        <v>184</v>
      </c>
      <c r="P19" s="5" t="s">
        <v>175</v>
      </c>
      <c r="Q19" s="5" t="s">
        <v>185</v>
      </c>
      <c r="R19" s="5" t="s">
        <v>186</v>
      </c>
      <c r="S19" s="5" t="s">
        <v>187</v>
      </c>
      <c r="T19" s="5" t="s">
        <v>90</v>
      </c>
      <c r="U19" s="5" t="s">
        <v>188</v>
      </c>
      <c r="V19" s="5" t="s">
        <v>189</v>
      </c>
      <c r="W19" s="4" t="s">
        <v>81</v>
      </c>
      <c r="X19" s="5" t="s">
        <v>190</v>
      </c>
      <c r="Y19" s="5" t="s">
        <v>83</v>
      </c>
    </row>
    <row r="20" customFormat="false" ht="23.85" hidden="false" customHeight="false" outlineLevel="0" collapsed="false">
      <c r="A20" s="4" t="n">
        <v>16</v>
      </c>
      <c r="B20" s="5" t="s">
        <v>191</v>
      </c>
      <c r="C20" s="5" t="s">
        <v>192</v>
      </c>
      <c r="D20" s="4"/>
      <c r="E20" s="4"/>
      <c r="F20" s="4" t="s">
        <v>133</v>
      </c>
      <c r="G20" s="4"/>
      <c r="H20" s="4"/>
      <c r="I20" s="4"/>
      <c r="J20" s="4"/>
      <c r="K20" s="4"/>
      <c r="L20" s="4"/>
      <c r="M20" s="4"/>
      <c r="N20" s="4"/>
      <c r="O20" s="5" t="s">
        <v>193</v>
      </c>
      <c r="P20" s="5" t="s">
        <v>194</v>
      </c>
      <c r="Q20" s="5" t="s">
        <v>90</v>
      </c>
      <c r="R20" s="5" t="s">
        <v>90</v>
      </c>
      <c r="S20" s="5" t="s">
        <v>90</v>
      </c>
      <c r="T20" s="5" t="s">
        <v>90</v>
      </c>
      <c r="U20" s="5" t="s">
        <v>115</v>
      </c>
      <c r="V20" s="5" t="s">
        <v>195</v>
      </c>
      <c r="W20" s="4" t="s">
        <v>144</v>
      </c>
      <c r="X20" s="5" t="s">
        <v>196</v>
      </c>
      <c r="Y20" s="5" t="s">
        <v>83</v>
      </c>
    </row>
    <row r="21" customFormat="false" ht="23.85" hidden="false" customHeight="false" outlineLevel="0" collapsed="false">
      <c r="A21" s="4" t="n">
        <v>17</v>
      </c>
      <c r="B21" s="5" t="s">
        <v>197</v>
      </c>
      <c r="C21" s="5" t="s">
        <v>192</v>
      </c>
      <c r="D21" s="4"/>
      <c r="E21" s="4"/>
      <c r="F21" s="4" t="s">
        <v>133</v>
      </c>
      <c r="G21" s="4"/>
      <c r="H21" s="4"/>
      <c r="I21" s="4"/>
      <c r="J21" s="4"/>
      <c r="K21" s="4"/>
      <c r="L21" s="4"/>
      <c r="M21" s="4"/>
      <c r="N21" s="4"/>
      <c r="O21" s="5" t="s">
        <v>198</v>
      </c>
      <c r="P21" s="5" t="s">
        <v>155</v>
      </c>
      <c r="Q21" s="5" t="s">
        <v>90</v>
      </c>
      <c r="R21" s="5" t="s">
        <v>90</v>
      </c>
      <c r="S21" s="5" t="s">
        <v>199</v>
      </c>
      <c r="T21" s="5" t="s">
        <v>90</v>
      </c>
      <c r="U21" s="5" t="s">
        <v>115</v>
      </c>
      <c r="V21" s="5" t="s">
        <v>200</v>
      </c>
      <c r="W21" s="4" t="s">
        <v>144</v>
      </c>
      <c r="X21" s="5" t="s">
        <v>201</v>
      </c>
      <c r="Y21" s="5" t="s">
        <v>83</v>
      </c>
    </row>
    <row r="22" customFormat="false" ht="23.85" hidden="false" customHeight="false" outlineLevel="0" collapsed="false">
      <c r="A22" s="4" t="n">
        <v>18</v>
      </c>
      <c r="B22" s="5" t="s">
        <v>202</v>
      </c>
      <c r="C22" s="5" t="s">
        <v>163</v>
      </c>
      <c r="D22" s="4"/>
      <c r="E22" s="4"/>
      <c r="F22" s="4" t="s">
        <v>133</v>
      </c>
      <c r="G22" s="4"/>
      <c r="H22" s="4"/>
      <c r="I22" s="4"/>
      <c r="J22" s="4"/>
      <c r="K22" s="4"/>
      <c r="L22" s="4"/>
      <c r="M22" s="4"/>
      <c r="N22" s="4"/>
      <c r="O22" s="5" t="s">
        <v>203</v>
      </c>
      <c r="P22" s="5" t="s">
        <v>155</v>
      </c>
      <c r="Q22" s="5" t="s">
        <v>90</v>
      </c>
      <c r="R22" s="5" t="s">
        <v>90</v>
      </c>
      <c r="S22" s="5" t="s">
        <v>90</v>
      </c>
      <c r="T22" s="5" t="s">
        <v>90</v>
      </c>
      <c r="U22" s="5" t="s">
        <v>115</v>
      </c>
      <c r="V22" s="5" t="s">
        <v>204</v>
      </c>
      <c r="W22" s="4" t="s">
        <v>144</v>
      </c>
      <c r="X22" s="5"/>
      <c r="Y22" s="5" t="s">
        <v>83</v>
      </c>
    </row>
    <row r="23" customFormat="false" ht="23.85" hidden="false" customHeight="false" outlineLevel="0" collapsed="false">
      <c r="A23" s="4" t="n">
        <v>19</v>
      </c>
      <c r="B23" s="5" t="s">
        <v>205</v>
      </c>
      <c r="C23" s="5" t="s">
        <v>163</v>
      </c>
      <c r="D23" s="4"/>
      <c r="E23" s="4"/>
      <c r="F23" s="4" t="s">
        <v>133</v>
      </c>
      <c r="G23" s="4"/>
      <c r="H23" s="4"/>
      <c r="I23" s="4"/>
      <c r="J23" s="4"/>
      <c r="K23" s="4"/>
      <c r="L23" s="4"/>
      <c r="M23" s="4"/>
      <c r="N23" s="4"/>
      <c r="O23" s="5" t="s">
        <v>206</v>
      </c>
      <c r="P23" s="5" t="s">
        <v>155</v>
      </c>
      <c r="Q23" s="5" t="s">
        <v>90</v>
      </c>
      <c r="R23" s="5" t="s">
        <v>90</v>
      </c>
      <c r="S23" s="5" t="s">
        <v>90</v>
      </c>
      <c r="T23" s="5" t="s">
        <v>90</v>
      </c>
      <c r="U23" s="5" t="s">
        <v>115</v>
      </c>
      <c r="V23" s="5" t="s">
        <v>207</v>
      </c>
      <c r="W23" s="4" t="s">
        <v>144</v>
      </c>
      <c r="X23" s="5"/>
      <c r="Y23" s="5" t="s">
        <v>83</v>
      </c>
    </row>
    <row r="24" customFormat="false" ht="23.85" hidden="false" customHeight="false" outlineLevel="0" collapsed="false">
      <c r="A24" s="4" t="n">
        <v>20</v>
      </c>
      <c r="B24" s="5" t="s">
        <v>208</v>
      </c>
      <c r="C24" s="5" t="s">
        <v>209</v>
      </c>
      <c r="D24" s="4"/>
      <c r="E24" s="4" t="s">
        <v>133</v>
      </c>
      <c r="F24" s="4" t="s">
        <v>133</v>
      </c>
      <c r="G24" s="4"/>
      <c r="H24" s="4"/>
      <c r="I24" s="4"/>
      <c r="J24" s="4"/>
      <c r="K24" s="4"/>
      <c r="L24" s="4"/>
      <c r="M24" s="4"/>
      <c r="N24" s="4"/>
      <c r="O24" s="5" t="s">
        <v>210</v>
      </c>
      <c r="P24" s="5" t="s">
        <v>155</v>
      </c>
      <c r="Q24" s="5" t="s">
        <v>211</v>
      </c>
      <c r="R24" s="5" t="s">
        <v>212</v>
      </c>
      <c r="S24" s="5" t="s">
        <v>213</v>
      </c>
      <c r="T24" s="5" t="s">
        <v>90</v>
      </c>
      <c r="U24" s="5" t="s">
        <v>214</v>
      </c>
      <c r="V24" s="5" t="s">
        <v>215</v>
      </c>
      <c r="W24" s="4" t="s">
        <v>109</v>
      </c>
      <c r="X24" s="5" t="s">
        <v>216</v>
      </c>
      <c r="Y24" s="5" t="s">
        <v>83</v>
      </c>
    </row>
    <row r="25" customFormat="false" ht="46.25" hidden="false" customHeight="false" outlineLevel="0" collapsed="false">
      <c r="A25" s="4" t="n">
        <v>21</v>
      </c>
      <c r="B25" s="5" t="s">
        <v>217</v>
      </c>
      <c r="C25" s="5" t="s">
        <v>218</v>
      </c>
      <c r="D25" s="4"/>
      <c r="E25" s="4" t="s">
        <v>72</v>
      </c>
      <c r="F25" s="4"/>
      <c r="G25" s="4"/>
      <c r="H25" s="4"/>
      <c r="I25" s="4"/>
      <c r="J25" s="4"/>
      <c r="K25" s="4"/>
      <c r="L25" s="4"/>
      <c r="M25" s="4"/>
      <c r="N25" s="4"/>
      <c r="O25" s="5" t="s">
        <v>219</v>
      </c>
      <c r="P25" s="5" t="s">
        <v>90</v>
      </c>
      <c r="Q25" s="5" t="s">
        <v>220</v>
      </c>
      <c r="R25" s="5" t="s">
        <v>221</v>
      </c>
      <c r="S25" s="5" t="s">
        <v>222</v>
      </c>
      <c r="T25" s="5" t="s">
        <v>90</v>
      </c>
      <c r="U25" s="5" t="s">
        <v>223</v>
      </c>
      <c r="V25" s="5" t="s">
        <v>224</v>
      </c>
      <c r="W25" s="4" t="s">
        <v>81</v>
      </c>
      <c r="X25" s="5"/>
      <c r="Y25" s="5" t="s">
        <v>83</v>
      </c>
    </row>
    <row r="26" customFormat="false" ht="35.05" hidden="false" customHeight="false" outlineLevel="0" collapsed="false">
      <c r="A26" s="4" t="n">
        <v>22</v>
      </c>
      <c r="B26" s="5" t="s">
        <v>225</v>
      </c>
      <c r="C26" s="5" t="s">
        <v>218</v>
      </c>
      <c r="D26" s="4"/>
      <c r="E26" s="4" t="s">
        <v>72</v>
      </c>
      <c r="F26" s="4"/>
      <c r="G26" s="4"/>
      <c r="H26" s="4"/>
      <c r="I26" s="4"/>
      <c r="J26" s="4"/>
      <c r="K26" s="4"/>
      <c r="L26" s="4"/>
      <c r="M26" s="4"/>
      <c r="N26" s="4"/>
      <c r="O26" s="5" t="s">
        <v>226</v>
      </c>
      <c r="P26" s="5" t="s">
        <v>90</v>
      </c>
      <c r="Q26" s="5" t="s">
        <v>227</v>
      </c>
      <c r="R26" s="5" t="s">
        <v>90</v>
      </c>
      <c r="S26" s="5" t="s">
        <v>228</v>
      </c>
      <c r="T26" s="5" t="s">
        <v>229</v>
      </c>
      <c r="U26" s="5" t="s">
        <v>230</v>
      </c>
      <c r="V26" s="5" t="s">
        <v>231</v>
      </c>
      <c r="W26" s="4" t="s">
        <v>109</v>
      </c>
      <c r="X26" s="5"/>
      <c r="Y26" s="5" t="s">
        <v>83</v>
      </c>
    </row>
    <row r="27" customFormat="false" ht="23.85" hidden="false" customHeight="false" outlineLevel="0" collapsed="false">
      <c r="A27" s="4" t="n">
        <v>23</v>
      </c>
      <c r="B27" s="5" t="s">
        <v>232</v>
      </c>
      <c r="C27" s="5" t="s">
        <v>218</v>
      </c>
      <c r="D27" s="4"/>
      <c r="E27" s="4" t="s">
        <v>133</v>
      </c>
      <c r="F27" s="4"/>
      <c r="G27" s="4"/>
      <c r="H27" s="4"/>
      <c r="I27" s="4"/>
      <c r="J27" s="4"/>
      <c r="K27" s="4"/>
      <c r="L27" s="4"/>
      <c r="M27" s="4"/>
      <c r="N27" s="4"/>
      <c r="O27" s="5" t="s">
        <v>233</v>
      </c>
      <c r="P27" s="5" t="s">
        <v>90</v>
      </c>
      <c r="Q27" s="5" t="s">
        <v>234</v>
      </c>
      <c r="R27" s="5" t="s">
        <v>90</v>
      </c>
      <c r="S27" s="5" t="s">
        <v>235</v>
      </c>
      <c r="T27" s="5" t="s">
        <v>90</v>
      </c>
      <c r="U27" s="5" t="s">
        <v>236</v>
      </c>
      <c r="V27" s="5" t="s">
        <v>237</v>
      </c>
      <c r="W27" s="4" t="s">
        <v>109</v>
      </c>
      <c r="X27" s="5"/>
      <c r="Y27" s="5" t="s">
        <v>83</v>
      </c>
    </row>
    <row r="28" customFormat="false" ht="23.85" hidden="false" customHeight="false" outlineLevel="0" collapsed="false">
      <c r="A28" s="4" t="n">
        <v>24</v>
      </c>
      <c r="B28" s="5" t="s">
        <v>238</v>
      </c>
      <c r="C28" s="5" t="s">
        <v>209</v>
      </c>
      <c r="D28" s="4"/>
      <c r="E28" s="4" t="s">
        <v>133</v>
      </c>
      <c r="F28" s="4" t="s">
        <v>133</v>
      </c>
      <c r="G28" s="4"/>
      <c r="H28" s="4"/>
      <c r="I28" s="4"/>
      <c r="J28" s="4"/>
      <c r="K28" s="4"/>
      <c r="L28" s="4"/>
      <c r="M28" s="4"/>
      <c r="N28" s="4"/>
      <c r="O28" s="5" t="s">
        <v>239</v>
      </c>
      <c r="P28" s="5" t="s">
        <v>90</v>
      </c>
      <c r="Q28" s="5" t="s">
        <v>240</v>
      </c>
      <c r="R28" s="5" t="s">
        <v>90</v>
      </c>
      <c r="S28" s="5" t="s">
        <v>241</v>
      </c>
      <c r="T28" s="5" t="s">
        <v>90</v>
      </c>
      <c r="U28" s="5" t="s">
        <v>242</v>
      </c>
      <c r="V28" s="5" t="s">
        <v>243</v>
      </c>
      <c r="W28" s="4" t="s">
        <v>109</v>
      </c>
      <c r="X28" s="5"/>
      <c r="Y28" s="5" t="s">
        <v>83</v>
      </c>
    </row>
    <row r="29" customFormat="false" ht="23.85" hidden="false" customHeight="false" outlineLevel="0" collapsed="false">
      <c r="A29" s="4" t="n">
        <v>25</v>
      </c>
      <c r="B29" s="5" t="s">
        <v>244</v>
      </c>
      <c r="C29" s="5" t="s">
        <v>218</v>
      </c>
      <c r="D29" s="4"/>
      <c r="E29" s="4" t="s">
        <v>133</v>
      </c>
      <c r="F29" s="4"/>
      <c r="G29" s="4"/>
      <c r="H29" s="4"/>
      <c r="I29" s="4"/>
      <c r="J29" s="4"/>
      <c r="K29" s="4"/>
      <c r="L29" s="4"/>
      <c r="M29" s="4"/>
      <c r="N29" s="4"/>
      <c r="O29" s="5" t="s">
        <v>245</v>
      </c>
      <c r="P29" s="5" t="s">
        <v>90</v>
      </c>
      <c r="Q29" s="5" t="s">
        <v>246</v>
      </c>
      <c r="R29" s="5" t="s">
        <v>247</v>
      </c>
      <c r="S29" s="5" t="s">
        <v>248</v>
      </c>
      <c r="T29" s="5" t="s">
        <v>90</v>
      </c>
      <c r="U29" s="5" t="s">
        <v>249</v>
      </c>
      <c r="V29" s="5" t="s">
        <v>250</v>
      </c>
      <c r="W29" s="4" t="s">
        <v>109</v>
      </c>
      <c r="X29" s="5" t="s">
        <v>251</v>
      </c>
      <c r="Y29" s="5" t="s">
        <v>83</v>
      </c>
    </row>
    <row r="30" customFormat="false" ht="35.05" hidden="false" customHeight="false" outlineLevel="0" collapsed="false">
      <c r="A30" s="4" t="n">
        <v>26</v>
      </c>
      <c r="B30" s="5" t="s">
        <v>252</v>
      </c>
      <c r="C30" s="5" t="s">
        <v>218</v>
      </c>
      <c r="D30" s="4"/>
      <c r="E30" s="4" t="s">
        <v>133</v>
      </c>
      <c r="F30" s="4"/>
      <c r="G30" s="4"/>
      <c r="H30" s="4"/>
      <c r="I30" s="4"/>
      <c r="J30" s="4"/>
      <c r="K30" s="4"/>
      <c r="L30" s="4"/>
      <c r="M30" s="4"/>
      <c r="N30" s="4"/>
      <c r="O30" s="5" t="s">
        <v>253</v>
      </c>
      <c r="P30" s="5" t="s">
        <v>90</v>
      </c>
      <c r="Q30" s="5" t="s">
        <v>90</v>
      </c>
      <c r="R30" s="5" t="s">
        <v>90</v>
      </c>
      <c r="S30" s="5" t="s">
        <v>254</v>
      </c>
      <c r="T30" s="5" t="s">
        <v>90</v>
      </c>
      <c r="U30" s="5" t="s">
        <v>115</v>
      </c>
      <c r="V30" s="5" t="s">
        <v>255</v>
      </c>
      <c r="W30" s="4" t="s">
        <v>144</v>
      </c>
      <c r="X30" s="5" t="s">
        <v>256</v>
      </c>
      <c r="Y30" s="5" t="s">
        <v>83</v>
      </c>
    </row>
    <row r="31" customFormat="false" ht="23.85" hidden="false" customHeight="false" outlineLevel="0" collapsed="false">
      <c r="A31" s="4" t="n">
        <v>27</v>
      </c>
      <c r="B31" s="5" t="s">
        <v>257</v>
      </c>
      <c r="C31" s="5" t="s">
        <v>218</v>
      </c>
      <c r="D31" s="4"/>
      <c r="E31" s="4" t="s">
        <v>133</v>
      </c>
      <c r="F31" s="4"/>
      <c r="G31" s="4"/>
      <c r="H31" s="4"/>
      <c r="I31" s="4"/>
      <c r="J31" s="4"/>
      <c r="K31" s="4"/>
      <c r="L31" s="4"/>
      <c r="M31" s="4"/>
      <c r="N31" s="4"/>
      <c r="O31" s="5" t="s">
        <v>258</v>
      </c>
      <c r="P31" s="5" t="s">
        <v>90</v>
      </c>
      <c r="Q31" s="5" t="s">
        <v>90</v>
      </c>
      <c r="R31" s="5" t="s">
        <v>90</v>
      </c>
      <c r="S31" s="5" t="s">
        <v>259</v>
      </c>
      <c r="T31" s="5" t="s">
        <v>90</v>
      </c>
      <c r="U31" s="5" t="s">
        <v>115</v>
      </c>
      <c r="V31" s="5" t="s">
        <v>260</v>
      </c>
      <c r="W31" s="4" t="s">
        <v>144</v>
      </c>
      <c r="X31" s="5"/>
      <c r="Y31" s="5" t="s">
        <v>83</v>
      </c>
    </row>
    <row r="32" customFormat="false" ht="35.05" hidden="false" customHeight="false" outlineLevel="0" collapsed="false">
      <c r="A32" s="4" t="n">
        <v>28</v>
      </c>
      <c r="B32" s="5" t="s">
        <v>261</v>
      </c>
      <c r="C32" s="5" t="s">
        <v>262</v>
      </c>
      <c r="D32" s="4" t="s">
        <v>133</v>
      </c>
      <c r="E32" s="4"/>
      <c r="F32" s="4"/>
      <c r="G32" s="4"/>
      <c r="H32" s="4"/>
      <c r="I32" s="4"/>
      <c r="J32" s="4" t="s">
        <v>133</v>
      </c>
      <c r="K32" s="4"/>
      <c r="L32" s="4"/>
      <c r="M32" s="4"/>
      <c r="N32" s="4"/>
      <c r="O32" s="5" t="s">
        <v>263</v>
      </c>
      <c r="P32" s="5" t="s">
        <v>264</v>
      </c>
      <c r="Q32" s="5" t="s">
        <v>265</v>
      </c>
      <c r="R32" s="5" t="s">
        <v>266</v>
      </c>
      <c r="S32" s="5" t="s">
        <v>267</v>
      </c>
      <c r="T32" s="5" t="s">
        <v>90</v>
      </c>
      <c r="U32" s="5" t="s">
        <v>115</v>
      </c>
      <c r="V32" s="5" t="s">
        <v>268</v>
      </c>
      <c r="W32" s="4" t="s">
        <v>81</v>
      </c>
      <c r="X32" s="5" t="s">
        <v>269</v>
      </c>
      <c r="Y32" s="5" t="s">
        <v>83</v>
      </c>
    </row>
    <row r="33" customFormat="false" ht="35.05" hidden="false" customHeight="false" outlineLevel="0" collapsed="false">
      <c r="A33" s="4" t="n">
        <v>29</v>
      </c>
      <c r="B33" s="5" t="s">
        <v>270</v>
      </c>
      <c r="C33" s="5" t="s">
        <v>262</v>
      </c>
      <c r="D33" s="4" t="s">
        <v>133</v>
      </c>
      <c r="E33" s="4"/>
      <c r="F33" s="4"/>
      <c r="G33" s="4"/>
      <c r="H33" s="4"/>
      <c r="I33" s="4"/>
      <c r="J33" s="4" t="s">
        <v>133</v>
      </c>
      <c r="K33" s="4"/>
      <c r="L33" s="4"/>
      <c r="M33" s="4"/>
      <c r="N33" s="4"/>
      <c r="O33" s="5" t="s">
        <v>271</v>
      </c>
      <c r="P33" s="5" t="s">
        <v>90</v>
      </c>
      <c r="Q33" s="5" t="s">
        <v>272</v>
      </c>
      <c r="R33" s="5" t="s">
        <v>90</v>
      </c>
      <c r="S33" s="5" t="s">
        <v>273</v>
      </c>
      <c r="T33" s="5" t="s">
        <v>90</v>
      </c>
      <c r="U33" s="5" t="s">
        <v>274</v>
      </c>
      <c r="V33" s="5" t="s">
        <v>275</v>
      </c>
      <c r="W33" s="4" t="s">
        <v>109</v>
      </c>
      <c r="X33" s="5" t="s">
        <v>276</v>
      </c>
      <c r="Y33" s="5" t="s">
        <v>83</v>
      </c>
    </row>
    <row r="34" customFormat="false" ht="23.85" hidden="false" customHeight="false" outlineLevel="0" collapsed="false">
      <c r="A34" s="4" t="n">
        <v>30</v>
      </c>
      <c r="B34" s="5" t="s">
        <v>277</v>
      </c>
      <c r="C34" s="5" t="s">
        <v>262</v>
      </c>
      <c r="D34" s="4" t="s">
        <v>133</v>
      </c>
      <c r="E34" s="4"/>
      <c r="F34" s="4"/>
      <c r="G34" s="4"/>
      <c r="H34" s="4"/>
      <c r="I34" s="4"/>
      <c r="J34" s="4"/>
      <c r="K34" s="4"/>
      <c r="L34" s="4"/>
      <c r="M34" s="4"/>
      <c r="N34" s="4"/>
      <c r="O34" s="5" t="s">
        <v>278</v>
      </c>
      <c r="P34" s="5" t="s">
        <v>90</v>
      </c>
      <c r="Q34" s="5" t="s">
        <v>279</v>
      </c>
      <c r="R34" s="5" t="s">
        <v>90</v>
      </c>
      <c r="S34" s="5" t="s">
        <v>90</v>
      </c>
      <c r="T34" s="5" t="s">
        <v>90</v>
      </c>
      <c r="U34" s="5" t="s">
        <v>115</v>
      </c>
      <c r="V34" s="5" t="s">
        <v>280</v>
      </c>
      <c r="W34" s="4" t="s">
        <v>144</v>
      </c>
      <c r="X34" s="5"/>
      <c r="Y34" s="5" t="s">
        <v>83</v>
      </c>
    </row>
    <row r="35" customFormat="false" ht="23.85" hidden="false" customHeight="false" outlineLevel="0" collapsed="false">
      <c r="A35" s="4" t="n">
        <v>31</v>
      </c>
      <c r="B35" s="5" t="s">
        <v>281</v>
      </c>
      <c r="C35" s="5" t="s">
        <v>262</v>
      </c>
      <c r="D35" s="4" t="s">
        <v>133</v>
      </c>
      <c r="E35" s="4"/>
      <c r="F35" s="4"/>
      <c r="G35" s="4"/>
      <c r="H35" s="4"/>
      <c r="I35" s="4"/>
      <c r="J35" s="4"/>
      <c r="K35" s="4"/>
      <c r="L35" s="4"/>
      <c r="M35" s="4"/>
      <c r="N35" s="4"/>
      <c r="O35" s="5" t="s">
        <v>282</v>
      </c>
      <c r="P35" s="5" t="s">
        <v>90</v>
      </c>
      <c r="Q35" s="5" t="s">
        <v>283</v>
      </c>
      <c r="R35" s="5" t="s">
        <v>90</v>
      </c>
      <c r="S35" s="5" t="s">
        <v>284</v>
      </c>
      <c r="T35" s="5" t="s">
        <v>90</v>
      </c>
      <c r="U35" s="5" t="s">
        <v>285</v>
      </c>
      <c r="V35" s="5" t="s">
        <v>286</v>
      </c>
      <c r="W35" s="4" t="s">
        <v>144</v>
      </c>
      <c r="X35" s="5" t="s">
        <v>287</v>
      </c>
      <c r="Y35" s="5" t="s">
        <v>83</v>
      </c>
    </row>
    <row r="36" customFormat="false" ht="46.25" hidden="false" customHeight="false" outlineLevel="0" collapsed="false">
      <c r="A36" s="4" t="n">
        <v>32</v>
      </c>
      <c r="B36" s="5" t="s">
        <v>288</v>
      </c>
      <c r="C36" s="5" t="s">
        <v>289</v>
      </c>
      <c r="D36" s="4" t="s">
        <v>72</v>
      </c>
      <c r="E36" s="4" t="s">
        <v>133</v>
      </c>
      <c r="F36" s="4"/>
      <c r="G36" s="4"/>
      <c r="H36" s="4" t="s">
        <v>72</v>
      </c>
      <c r="I36" s="4"/>
      <c r="J36" s="4" t="s">
        <v>72</v>
      </c>
      <c r="K36" s="4" t="s">
        <v>72</v>
      </c>
      <c r="L36" s="4"/>
      <c r="M36" s="4"/>
      <c r="N36" s="4"/>
      <c r="O36" s="5" t="s">
        <v>290</v>
      </c>
      <c r="P36" s="5" t="s">
        <v>90</v>
      </c>
      <c r="Q36" s="5" t="s">
        <v>291</v>
      </c>
      <c r="R36" s="5" t="s">
        <v>292</v>
      </c>
      <c r="S36" s="5" t="s">
        <v>293</v>
      </c>
      <c r="T36" s="5" t="s">
        <v>90</v>
      </c>
      <c r="U36" s="5" t="s">
        <v>294</v>
      </c>
      <c r="V36" s="5" t="s">
        <v>295</v>
      </c>
      <c r="W36" s="4" t="s">
        <v>109</v>
      </c>
      <c r="X36" s="5" t="s">
        <v>296</v>
      </c>
      <c r="Y36" s="5" t="s">
        <v>83</v>
      </c>
    </row>
    <row r="37" customFormat="false" ht="35.05" hidden="false" customHeight="false" outlineLevel="0" collapsed="false">
      <c r="A37" s="4" t="n">
        <v>33</v>
      </c>
      <c r="B37" s="5" t="s">
        <v>297</v>
      </c>
      <c r="C37" s="5" t="s">
        <v>298</v>
      </c>
      <c r="D37" s="4" t="s">
        <v>133</v>
      </c>
      <c r="E37" s="4" t="s">
        <v>133</v>
      </c>
      <c r="F37" s="4"/>
      <c r="G37" s="4"/>
      <c r="H37" s="4"/>
      <c r="I37" s="4" t="s">
        <v>133</v>
      </c>
      <c r="J37" s="4" t="s">
        <v>133</v>
      </c>
      <c r="K37" s="4" t="s">
        <v>133</v>
      </c>
      <c r="L37" s="4"/>
      <c r="M37" s="4"/>
      <c r="N37" s="4" t="s">
        <v>72</v>
      </c>
      <c r="O37" s="5" t="s">
        <v>299</v>
      </c>
      <c r="P37" s="5" t="s">
        <v>90</v>
      </c>
      <c r="Q37" s="5" t="s">
        <v>300</v>
      </c>
      <c r="R37" s="5" t="s">
        <v>90</v>
      </c>
      <c r="S37" s="5" t="s">
        <v>301</v>
      </c>
      <c r="T37" s="5" t="s">
        <v>90</v>
      </c>
      <c r="U37" s="5" t="s">
        <v>302</v>
      </c>
      <c r="V37" s="5" t="s">
        <v>303</v>
      </c>
      <c r="W37" s="4" t="s">
        <v>109</v>
      </c>
      <c r="X37" s="5" t="s">
        <v>304</v>
      </c>
      <c r="Y37" s="5" t="s">
        <v>83</v>
      </c>
    </row>
    <row r="38" customFormat="false" ht="35.05" hidden="false" customHeight="false" outlineLevel="0" collapsed="false">
      <c r="A38" s="4" t="n">
        <v>34</v>
      </c>
      <c r="B38" s="5" t="s">
        <v>305</v>
      </c>
      <c r="C38" s="5" t="s">
        <v>306</v>
      </c>
      <c r="D38" s="4"/>
      <c r="E38" s="4"/>
      <c r="F38" s="4"/>
      <c r="G38" s="4"/>
      <c r="H38" s="4" t="s">
        <v>133</v>
      </c>
      <c r="I38" s="4"/>
      <c r="J38" s="4"/>
      <c r="K38" s="4" t="s">
        <v>133</v>
      </c>
      <c r="L38" s="4"/>
      <c r="M38" s="4"/>
      <c r="N38" s="4"/>
      <c r="O38" s="5" t="s">
        <v>307</v>
      </c>
      <c r="P38" s="5" t="s">
        <v>90</v>
      </c>
      <c r="Q38" s="5" t="s">
        <v>90</v>
      </c>
      <c r="R38" s="5" t="s">
        <v>90</v>
      </c>
      <c r="S38" s="5" t="s">
        <v>308</v>
      </c>
      <c r="T38" s="5" t="s">
        <v>90</v>
      </c>
      <c r="U38" s="5" t="s">
        <v>115</v>
      </c>
      <c r="V38" s="5" t="s">
        <v>309</v>
      </c>
      <c r="W38" s="4" t="s">
        <v>144</v>
      </c>
      <c r="X38" s="5" t="s">
        <v>256</v>
      </c>
      <c r="Y38" s="5" t="s">
        <v>83</v>
      </c>
    </row>
    <row r="39" customFormat="false" ht="35.05" hidden="false" customHeight="false" outlineLevel="0" collapsed="false">
      <c r="A39" s="4" t="n">
        <v>35</v>
      </c>
      <c r="B39" s="5" t="s">
        <v>310</v>
      </c>
      <c r="C39" s="5" t="s">
        <v>311</v>
      </c>
      <c r="D39" s="4"/>
      <c r="E39" s="4"/>
      <c r="F39" s="4"/>
      <c r="G39" s="4"/>
      <c r="H39" s="4"/>
      <c r="I39" s="4"/>
      <c r="J39" s="4"/>
      <c r="K39" s="4"/>
      <c r="L39" s="4"/>
      <c r="M39" s="4"/>
      <c r="N39" s="4" t="s">
        <v>72</v>
      </c>
      <c r="O39" s="5" t="s">
        <v>312</v>
      </c>
      <c r="P39" s="5" t="s">
        <v>90</v>
      </c>
      <c r="Q39" s="5" t="s">
        <v>313</v>
      </c>
      <c r="R39" s="5" t="s">
        <v>314</v>
      </c>
      <c r="S39" s="5" t="s">
        <v>315</v>
      </c>
      <c r="T39" s="5" t="s">
        <v>316</v>
      </c>
      <c r="U39" s="5" t="s">
        <v>317</v>
      </c>
      <c r="V39" s="5" t="s">
        <v>318</v>
      </c>
      <c r="W39" s="4" t="s">
        <v>81</v>
      </c>
      <c r="X39" s="5"/>
      <c r="Y39" s="5" t="s">
        <v>83</v>
      </c>
    </row>
    <row r="40" customFormat="false" ht="35.05" hidden="false" customHeight="false" outlineLevel="0" collapsed="false">
      <c r="A40" s="4" t="n">
        <v>36</v>
      </c>
      <c r="B40" s="5" t="s">
        <v>319</v>
      </c>
      <c r="C40" s="5" t="s">
        <v>320</v>
      </c>
      <c r="D40" s="4"/>
      <c r="E40" s="4"/>
      <c r="F40" s="4"/>
      <c r="G40" s="4"/>
      <c r="H40" s="4"/>
      <c r="I40" s="4" t="s">
        <v>133</v>
      </c>
      <c r="J40" s="4"/>
      <c r="K40" s="4"/>
      <c r="L40" s="4"/>
      <c r="M40" s="4" t="s">
        <v>72</v>
      </c>
      <c r="N40" s="4" t="s">
        <v>72</v>
      </c>
      <c r="O40" s="5" t="s">
        <v>321</v>
      </c>
      <c r="P40" s="5" t="s">
        <v>90</v>
      </c>
      <c r="Q40" s="5" t="s">
        <v>322</v>
      </c>
      <c r="R40" s="5" t="s">
        <v>323</v>
      </c>
      <c r="S40" s="5" t="s">
        <v>324</v>
      </c>
      <c r="T40" s="5" t="s">
        <v>325</v>
      </c>
      <c r="U40" s="5" t="s">
        <v>326</v>
      </c>
      <c r="V40" s="5" t="s">
        <v>327</v>
      </c>
      <c r="W40" s="4" t="s">
        <v>81</v>
      </c>
      <c r="X40" s="5" t="s">
        <v>328</v>
      </c>
      <c r="Y40" s="5" t="s">
        <v>83</v>
      </c>
    </row>
    <row r="41" customFormat="false" ht="23.85" hidden="false" customHeight="false" outlineLevel="0" collapsed="false">
      <c r="A41" s="4" t="n">
        <v>37</v>
      </c>
      <c r="B41" s="5" t="s">
        <v>329</v>
      </c>
      <c r="C41" s="5" t="s">
        <v>311</v>
      </c>
      <c r="D41" s="4"/>
      <c r="E41" s="4"/>
      <c r="F41" s="4"/>
      <c r="G41" s="4"/>
      <c r="H41" s="4"/>
      <c r="I41" s="4" t="s">
        <v>133</v>
      </c>
      <c r="J41" s="4"/>
      <c r="K41" s="4"/>
      <c r="L41" s="4"/>
      <c r="M41" s="4"/>
      <c r="N41" s="4" t="s">
        <v>72</v>
      </c>
      <c r="O41" s="5" t="s">
        <v>330</v>
      </c>
      <c r="P41" s="5" t="s">
        <v>90</v>
      </c>
      <c r="Q41" s="5" t="s">
        <v>331</v>
      </c>
      <c r="R41" s="5" t="s">
        <v>332</v>
      </c>
      <c r="S41" s="5" t="s">
        <v>333</v>
      </c>
      <c r="T41" s="5" t="s">
        <v>90</v>
      </c>
      <c r="U41" s="5" t="s">
        <v>334</v>
      </c>
      <c r="V41" s="5" t="s">
        <v>335</v>
      </c>
      <c r="W41" s="4" t="s">
        <v>81</v>
      </c>
      <c r="X41" s="5"/>
      <c r="Y41" s="5" t="s">
        <v>83</v>
      </c>
    </row>
    <row r="42" customFormat="false" ht="23.85" hidden="false" customHeight="false" outlineLevel="0" collapsed="false">
      <c r="A42" s="4" t="n">
        <v>38</v>
      </c>
      <c r="B42" s="5" t="s">
        <v>336</v>
      </c>
      <c r="C42" s="5" t="s">
        <v>311</v>
      </c>
      <c r="D42" s="4"/>
      <c r="E42" s="4"/>
      <c r="F42" s="4"/>
      <c r="G42" s="4"/>
      <c r="H42" s="4"/>
      <c r="I42" s="4" t="s">
        <v>133</v>
      </c>
      <c r="J42" s="4"/>
      <c r="K42" s="4"/>
      <c r="L42" s="4"/>
      <c r="M42" s="4"/>
      <c r="N42" s="4" t="s">
        <v>72</v>
      </c>
      <c r="O42" s="5" t="s">
        <v>337</v>
      </c>
      <c r="P42" s="5" t="s">
        <v>90</v>
      </c>
      <c r="Q42" s="5" t="s">
        <v>338</v>
      </c>
      <c r="R42" s="5" t="s">
        <v>339</v>
      </c>
      <c r="S42" s="5" t="s">
        <v>340</v>
      </c>
      <c r="T42" s="5" t="s">
        <v>341</v>
      </c>
      <c r="U42" s="5" t="s">
        <v>342</v>
      </c>
      <c r="V42" s="5" t="s">
        <v>343</v>
      </c>
      <c r="W42" s="4" t="s">
        <v>81</v>
      </c>
      <c r="X42" s="5"/>
      <c r="Y42" s="5" t="s">
        <v>83</v>
      </c>
    </row>
    <row r="43" customFormat="false" ht="23.85" hidden="false" customHeight="false" outlineLevel="0" collapsed="false">
      <c r="A43" s="4" t="n">
        <v>39</v>
      </c>
      <c r="B43" s="5" t="s">
        <v>344</v>
      </c>
      <c r="C43" s="5" t="s">
        <v>311</v>
      </c>
      <c r="D43" s="4"/>
      <c r="E43" s="4"/>
      <c r="F43" s="4"/>
      <c r="G43" s="4"/>
      <c r="H43" s="4"/>
      <c r="I43" s="4"/>
      <c r="J43" s="4"/>
      <c r="K43" s="4"/>
      <c r="L43" s="4"/>
      <c r="M43" s="4"/>
      <c r="N43" s="4" t="s">
        <v>72</v>
      </c>
      <c r="O43" s="5" t="s">
        <v>345</v>
      </c>
      <c r="P43" s="5" t="s">
        <v>90</v>
      </c>
      <c r="Q43" s="5" t="s">
        <v>346</v>
      </c>
      <c r="R43" s="5" t="s">
        <v>347</v>
      </c>
      <c r="S43" s="5" t="s">
        <v>348</v>
      </c>
      <c r="T43" s="5" t="s">
        <v>349</v>
      </c>
      <c r="U43" s="5" t="s">
        <v>350</v>
      </c>
      <c r="V43" s="5" t="s">
        <v>351</v>
      </c>
      <c r="W43" s="4" t="s">
        <v>109</v>
      </c>
      <c r="X43" s="5"/>
      <c r="Y43" s="5" t="s">
        <v>83</v>
      </c>
    </row>
    <row r="44" customFormat="false" ht="46.25" hidden="false" customHeight="false" outlineLevel="0" collapsed="false">
      <c r="A44" s="4" t="n">
        <v>40</v>
      </c>
      <c r="B44" s="5" t="s">
        <v>352</v>
      </c>
      <c r="C44" s="5" t="s">
        <v>311</v>
      </c>
      <c r="D44" s="4"/>
      <c r="E44" s="4"/>
      <c r="F44" s="4"/>
      <c r="G44" s="4"/>
      <c r="H44" s="4"/>
      <c r="I44" s="4" t="s">
        <v>133</v>
      </c>
      <c r="J44" s="4"/>
      <c r="K44" s="4"/>
      <c r="L44" s="4"/>
      <c r="M44" s="4" t="s">
        <v>133</v>
      </c>
      <c r="N44" s="4" t="s">
        <v>72</v>
      </c>
      <c r="O44" s="5" t="s">
        <v>353</v>
      </c>
      <c r="P44" s="5" t="s">
        <v>90</v>
      </c>
      <c r="Q44" s="5" t="s">
        <v>354</v>
      </c>
      <c r="R44" s="5" t="s">
        <v>355</v>
      </c>
      <c r="S44" s="5" t="s">
        <v>356</v>
      </c>
      <c r="T44" s="5" t="s">
        <v>90</v>
      </c>
      <c r="U44" s="5" t="s">
        <v>357</v>
      </c>
      <c r="V44" s="5" t="s">
        <v>358</v>
      </c>
      <c r="W44" s="4" t="s">
        <v>109</v>
      </c>
      <c r="X44" s="5"/>
      <c r="Y44" s="5" t="s">
        <v>83</v>
      </c>
    </row>
    <row r="45" customFormat="false" ht="23.85" hidden="false" customHeight="false" outlineLevel="0" collapsed="false">
      <c r="A45" s="4" t="n">
        <v>41</v>
      </c>
      <c r="B45" s="5" t="s">
        <v>359</v>
      </c>
      <c r="C45" s="5" t="s">
        <v>311</v>
      </c>
      <c r="D45" s="4"/>
      <c r="E45" s="4"/>
      <c r="F45" s="4"/>
      <c r="G45" s="4"/>
      <c r="H45" s="4"/>
      <c r="I45" s="4"/>
      <c r="J45" s="4"/>
      <c r="K45" s="4"/>
      <c r="L45" s="4"/>
      <c r="M45" s="4"/>
      <c r="N45" s="4" t="s">
        <v>72</v>
      </c>
      <c r="O45" s="5" t="s">
        <v>360</v>
      </c>
      <c r="P45" s="5" t="s">
        <v>90</v>
      </c>
      <c r="Q45" s="5" t="s">
        <v>90</v>
      </c>
      <c r="R45" s="5" t="s">
        <v>90</v>
      </c>
      <c r="S45" s="5" t="s">
        <v>361</v>
      </c>
      <c r="T45" s="5" t="s">
        <v>90</v>
      </c>
      <c r="U45" s="5" t="s">
        <v>362</v>
      </c>
      <c r="V45" s="5" t="s">
        <v>363</v>
      </c>
      <c r="W45" s="4" t="s">
        <v>144</v>
      </c>
      <c r="X45" s="5" t="s">
        <v>364</v>
      </c>
      <c r="Y45" s="5" t="s">
        <v>83</v>
      </c>
    </row>
    <row r="46" customFormat="false" ht="23.85" hidden="false" customHeight="false" outlineLevel="0" collapsed="false">
      <c r="A46" s="4" t="n">
        <v>42</v>
      </c>
      <c r="B46" s="5" t="s">
        <v>365</v>
      </c>
      <c r="C46" s="5" t="s">
        <v>311</v>
      </c>
      <c r="D46" s="4"/>
      <c r="E46" s="4"/>
      <c r="F46" s="4"/>
      <c r="G46" s="4"/>
      <c r="H46" s="4"/>
      <c r="I46" s="4"/>
      <c r="J46" s="4"/>
      <c r="K46" s="4"/>
      <c r="L46" s="4"/>
      <c r="M46" s="4"/>
      <c r="N46" s="4" t="s">
        <v>133</v>
      </c>
      <c r="O46" s="5" t="s">
        <v>366</v>
      </c>
      <c r="P46" s="5" t="s">
        <v>90</v>
      </c>
      <c r="Q46" s="5" t="s">
        <v>367</v>
      </c>
      <c r="R46" s="5" t="s">
        <v>90</v>
      </c>
      <c r="S46" s="5" t="s">
        <v>368</v>
      </c>
      <c r="T46" s="5" t="s">
        <v>90</v>
      </c>
      <c r="U46" s="5" t="s">
        <v>115</v>
      </c>
      <c r="V46" s="5" t="s">
        <v>369</v>
      </c>
      <c r="W46" s="4" t="s">
        <v>144</v>
      </c>
      <c r="X46" s="5"/>
      <c r="Y46" s="5" t="s">
        <v>83</v>
      </c>
    </row>
    <row r="47" customFormat="false" ht="35.05" hidden="false" customHeight="false" outlineLevel="0" collapsed="false">
      <c r="A47" s="4" t="n">
        <v>43</v>
      </c>
      <c r="B47" s="5" t="s">
        <v>370</v>
      </c>
      <c r="C47" s="5" t="s">
        <v>371</v>
      </c>
      <c r="D47" s="4"/>
      <c r="E47" s="4"/>
      <c r="F47" s="4"/>
      <c r="G47" s="4"/>
      <c r="H47" s="4"/>
      <c r="I47" s="4"/>
      <c r="J47" s="4"/>
      <c r="K47" s="4"/>
      <c r="L47" s="4"/>
      <c r="M47" s="4"/>
      <c r="N47" s="4" t="s">
        <v>133</v>
      </c>
      <c r="O47" s="5" t="s">
        <v>372</v>
      </c>
      <c r="P47" s="5" t="s">
        <v>90</v>
      </c>
      <c r="Q47" s="5" t="s">
        <v>90</v>
      </c>
      <c r="R47" s="5" t="s">
        <v>90</v>
      </c>
      <c r="S47" s="5" t="s">
        <v>373</v>
      </c>
      <c r="T47" s="5" t="s">
        <v>90</v>
      </c>
      <c r="U47" s="5" t="s">
        <v>115</v>
      </c>
      <c r="V47" s="5" t="s">
        <v>374</v>
      </c>
      <c r="W47" s="4" t="s">
        <v>144</v>
      </c>
      <c r="X47" s="5" t="s">
        <v>375</v>
      </c>
      <c r="Y47" s="5" t="s">
        <v>83</v>
      </c>
    </row>
    <row r="48" customFormat="false" ht="23.85" hidden="false" customHeight="false" outlineLevel="0" collapsed="false">
      <c r="A48" s="4" t="n">
        <v>44</v>
      </c>
      <c r="B48" s="5" t="s">
        <v>376</v>
      </c>
      <c r="C48" s="5" t="s">
        <v>377</v>
      </c>
      <c r="D48" s="4"/>
      <c r="E48" s="4"/>
      <c r="F48" s="4"/>
      <c r="G48" s="4"/>
      <c r="H48" s="4"/>
      <c r="I48" s="4" t="s">
        <v>72</v>
      </c>
      <c r="J48" s="4"/>
      <c r="K48" s="4"/>
      <c r="L48" s="4"/>
      <c r="M48" s="4" t="s">
        <v>72</v>
      </c>
      <c r="N48" s="4"/>
      <c r="O48" s="5" t="s">
        <v>378</v>
      </c>
      <c r="P48" s="5" t="s">
        <v>90</v>
      </c>
      <c r="Q48" s="5" t="s">
        <v>379</v>
      </c>
      <c r="R48" s="5" t="s">
        <v>380</v>
      </c>
      <c r="S48" s="5" t="s">
        <v>381</v>
      </c>
      <c r="T48" s="5" t="s">
        <v>90</v>
      </c>
      <c r="U48" s="5" t="s">
        <v>115</v>
      </c>
      <c r="V48" s="5" t="s">
        <v>382</v>
      </c>
      <c r="W48" s="4" t="s">
        <v>109</v>
      </c>
      <c r="X48" s="5" t="s">
        <v>383</v>
      </c>
      <c r="Y48" s="5" t="s">
        <v>83</v>
      </c>
    </row>
    <row r="49" customFormat="false" ht="23.85" hidden="false" customHeight="false" outlineLevel="0" collapsed="false">
      <c r="A49" s="4" t="n">
        <v>45</v>
      </c>
      <c r="B49" s="5" t="s">
        <v>384</v>
      </c>
      <c r="C49" s="5" t="s">
        <v>377</v>
      </c>
      <c r="D49" s="4"/>
      <c r="E49" s="4"/>
      <c r="F49" s="4"/>
      <c r="G49" s="4"/>
      <c r="H49" s="4"/>
      <c r="I49" s="4" t="s">
        <v>72</v>
      </c>
      <c r="J49" s="4"/>
      <c r="K49" s="4"/>
      <c r="L49" s="4"/>
      <c r="M49" s="4" t="s">
        <v>72</v>
      </c>
      <c r="N49" s="4"/>
      <c r="O49" s="5" t="s">
        <v>385</v>
      </c>
      <c r="P49" s="5" t="s">
        <v>90</v>
      </c>
      <c r="Q49" s="5" t="s">
        <v>386</v>
      </c>
      <c r="R49" s="5" t="s">
        <v>90</v>
      </c>
      <c r="S49" s="5" t="s">
        <v>90</v>
      </c>
      <c r="T49" s="5" t="s">
        <v>90</v>
      </c>
      <c r="U49" s="5" t="s">
        <v>387</v>
      </c>
      <c r="V49" s="5" t="s">
        <v>388</v>
      </c>
      <c r="W49" s="4" t="s">
        <v>144</v>
      </c>
      <c r="X49" s="5"/>
      <c r="Y49" s="5" t="s">
        <v>83</v>
      </c>
    </row>
    <row r="50" customFormat="false" ht="23.85" hidden="false" customHeight="false" outlineLevel="0" collapsed="false">
      <c r="A50" s="4" t="n">
        <v>46</v>
      </c>
      <c r="B50" s="5" t="s">
        <v>389</v>
      </c>
      <c r="C50" s="5" t="s">
        <v>377</v>
      </c>
      <c r="D50" s="4"/>
      <c r="E50" s="4"/>
      <c r="F50" s="4"/>
      <c r="G50" s="4"/>
      <c r="H50" s="4"/>
      <c r="I50" s="4" t="s">
        <v>133</v>
      </c>
      <c r="J50" s="4"/>
      <c r="K50" s="4"/>
      <c r="L50" s="4"/>
      <c r="M50" s="4" t="s">
        <v>133</v>
      </c>
      <c r="N50" s="4"/>
      <c r="O50" s="5" t="s">
        <v>390</v>
      </c>
      <c r="P50" s="5" t="s">
        <v>90</v>
      </c>
      <c r="Q50" s="5" t="s">
        <v>90</v>
      </c>
      <c r="R50" s="5" t="s">
        <v>90</v>
      </c>
      <c r="S50" s="5" t="s">
        <v>391</v>
      </c>
      <c r="T50" s="5" t="s">
        <v>90</v>
      </c>
      <c r="U50" s="5" t="s">
        <v>115</v>
      </c>
      <c r="V50" s="5" t="s">
        <v>392</v>
      </c>
      <c r="W50" s="4" t="s">
        <v>144</v>
      </c>
      <c r="X50" s="5" t="s">
        <v>393</v>
      </c>
      <c r="Y50" s="5" t="s">
        <v>83</v>
      </c>
    </row>
    <row r="51" customFormat="false" ht="23.85" hidden="false" customHeight="false" outlineLevel="0" collapsed="false">
      <c r="A51" s="4" t="n">
        <v>47</v>
      </c>
      <c r="B51" s="5" t="s">
        <v>394</v>
      </c>
      <c r="C51" s="5" t="s">
        <v>377</v>
      </c>
      <c r="D51" s="4"/>
      <c r="E51" s="4"/>
      <c r="F51" s="4"/>
      <c r="G51" s="4"/>
      <c r="H51" s="4"/>
      <c r="I51" s="4" t="s">
        <v>133</v>
      </c>
      <c r="J51" s="4"/>
      <c r="K51" s="4"/>
      <c r="L51" s="4"/>
      <c r="M51" s="4" t="s">
        <v>133</v>
      </c>
      <c r="N51" s="4"/>
      <c r="O51" s="5" t="s">
        <v>395</v>
      </c>
      <c r="P51" s="5" t="s">
        <v>90</v>
      </c>
      <c r="Q51" s="5" t="s">
        <v>396</v>
      </c>
      <c r="R51" s="5" t="s">
        <v>90</v>
      </c>
      <c r="S51" s="5" t="s">
        <v>90</v>
      </c>
      <c r="T51" s="5" t="s">
        <v>90</v>
      </c>
      <c r="U51" s="5" t="s">
        <v>397</v>
      </c>
      <c r="V51" s="5" t="s">
        <v>398</v>
      </c>
      <c r="W51" s="4" t="s">
        <v>144</v>
      </c>
      <c r="X51" s="5"/>
      <c r="Y51" s="5" t="s">
        <v>83</v>
      </c>
    </row>
    <row r="52" customFormat="false" ht="35.05" hidden="false" customHeight="false" outlineLevel="0" collapsed="false">
      <c r="A52" s="4" t="n">
        <v>48</v>
      </c>
      <c r="B52" s="5" t="s">
        <v>399</v>
      </c>
      <c r="C52" s="5" t="s">
        <v>400</v>
      </c>
      <c r="D52" s="4"/>
      <c r="E52" s="4"/>
      <c r="F52" s="4"/>
      <c r="G52" s="4"/>
      <c r="H52" s="4"/>
      <c r="I52" s="4" t="s">
        <v>133</v>
      </c>
      <c r="J52" s="4"/>
      <c r="K52" s="4"/>
      <c r="L52" s="4"/>
      <c r="M52" s="4"/>
      <c r="N52" s="4"/>
      <c r="O52" s="5" t="s">
        <v>401</v>
      </c>
      <c r="P52" s="5" t="s">
        <v>90</v>
      </c>
      <c r="Q52" s="5" t="s">
        <v>90</v>
      </c>
      <c r="R52" s="5" t="s">
        <v>90</v>
      </c>
      <c r="S52" s="5" t="s">
        <v>90</v>
      </c>
      <c r="T52" s="5" t="s">
        <v>90</v>
      </c>
      <c r="U52" s="5" t="s">
        <v>115</v>
      </c>
      <c r="V52" s="5" t="s">
        <v>402</v>
      </c>
      <c r="W52" s="4" t="s">
        <v>144</v>
      </c>
      <c r="X52" s="5" t="s">
        <v>403</v>
      </c>
      <c r="Y52" s="5" t="s">
        <v>83</v>
      </c>
    </row>
    <row r="53" customFormat="false" ht="35.05" hidden="false" customHeight="false" outlineLevel="0" collapsed="false">
      <c r="A53" s="4" t="n">
        <v>49</v>
      </c>
      <c r="B53" s="5" t="s">
        <v>404</v>
      </c>
      <c r="C53" s="5" t="s">
        <v>400</v>
      </c>
      <c r="D53" s="4"/>
      <c r="E53" s="4"/>
      <c r="F53" s="4"/>
      <c r="G53" s="4"/>
      <c r="H53" s="4"/>
      <c r="I53" s="4" t="s">
        <v>133</v>
      </c>
      <c r="J53" s="4"/>
      <c r="K53" s="4"/>
      <c r="L53" s="4"/>
      <c r="M53" s="4"/>
      <c r="N53" s="4"/>
      <c r="O53" s="5" t="s">
        <v>405</v>
      </c>
      <c r="P53" s="5" t="s">
        <v>90</v>
      </c>
      <c r="Q53" s="5" t="s">
        <v>90</v>
      </c>
      <c r="R53" s="5" t="s">
        <v>90</v>
      </c>
      <c r="S53" s="5" t="s">
        <v>90</v>
      </c>
      <c r="T53" s="5" t="s">
        <v>90</v>
      </c>
      <c r="U53" s="5" t="s">
        <v>115</v>
      </c>
      <c r="V53" s="5" t="s">
        <v>406</v>
      </c>
      <c r="W53" s="4" t="s">
        <v>144</v>
      </c>
      <c r="X53" s="5" t="s">
        <v>407</v>
      </c>
      <c r="Y53" s="5" t="s">
        <v>83</v>
      </c>
    </row>
  </sheetData>
  <autoFilter ref="A4:Y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2"/>
    <col collapsed="false" customWidth="true" hidden="false" outlineLevel="0" max="4" min="4" style="0" width="44"/>
    <col collapsed="false" customWidth="true" hidden="false" outlineLevel="0" max="6" min="5" style="0" width="28"/>
    <col collapsed="false" customWidth="true" hidden="false" outlineLevel="0" max="7" min="7" style="0" width="20"/>
    <col collapsed="false" customWidth="true" hidden="false" outlineLevel="0" max="8" min="8" style="0" width="12"/>
    <col collapsed="false" customWidth="true" hidden="false" outlineLevel="0" max="9" min="9" style="0" width="18"/>
    <col collapsed="false" customWidth="true" hidden="false" outlineLevel="0" max="10" min="10" style="0" width="13"/>
    <col collapsed="false" customWidth="true" hidden="false" outlineLevel="0" max="11" min="11" style="0" width="30"/>
  </cols>
  <sheetData>
    <row r="1" customFormat="false" ht="16.15" hidden="false" customHeight="false" outlineLevel="0" collapsed="false">
      <c r="A1" s="10" t="s">
        <v>408</v>
      </c>
    </row>
    <row r="2" customFormat="false" ht="15" hidden="false" customHeight="false" outlineLevel="0" collapsed="false">
      <c r="A2" s="11" t="s">
        <v>409</v>
      </c>
    </row>
    <row r="4" customFormat="false" ht="23.85" hidden="false" customHeight="false" outlineLevel="0" collapsed="false">
      <c r="A4" s="3" t="s">
        <v>2</v>
      </c>
      <c r="B4" s="3" t="s">
        <v>410</v>
      </c>
      <c r="C4" s="3" t="s">
        <v>57</v>
      </c>
      <c r="D4" s="3" t="s">
        <v>411</v>
      </c>
      <c r="E4" s="3" t="s">
        <v>61</v>
      </c>
      <c r="F4" s="3" t="s">
        <v>62</v>
      </c>
      <c r="G4" s="3" t="s">
        <v>63</v>
      </c>
      <c r="H4" s="3" t="s">
        <v>67</v>
      </c>
      <c r="I4" s="3" t="s">
        <v>412</v>
      </c>
      <c r="J4" s="3" t="s">
        <v>413</v>
      </c>
      <c r="K4" s="3" t="s">
        <v>414</v>
      </c>
    </row>
    <row r="5" customFormat="false" ht="15" hidden="false" customHeight="false" outlineLevel="0" collapsed="false">
      <c r="A5" s="12" t="s">
        <v>9</v>
      </c>
      <c r="B5" s="12"/>
      <c r="C5" s="12"/>
      <c r="D5" s="12"/>
      <c r="E5" s="12"/>
      <c r="F5" s="12"/>
      <c r="G5" s="12"/>
      <c r="H5" s="12"/>
      <c r="I5" s="12"/>
      <c r="J5" s="12"/>
      <c r="K5" s="12"/>
    </row>
    <row r="6" customFormat="false" ht="23.85" hidden="false" customHeight="false" outlineLevel="0" collapsed="false">
      <c r="A6" s="4" t="s">
        <v>8</v>
      </c>
      <c r="B6" s="4" t="n">
        <v>1</v>
      </c>
      <c r="C6" s="5" t="s">
        <v>288</v>
      </c>
      <c r="D6" s="5" t="s">
        <v>415</v>
      </c>
      <c r="E6" s="5" t="str">
        <f aca="false">IFERROR(INDEX('Все компании'!$Q$5:$Q$53,MATCH(C6,'Все компании'!$B$5:$B$53,0)),"")</f>
        <v>+998 93 103 70 77 (Telegram/WhatsApp)</v>
      </c>
      <c r="F6" s="5" t="str">
        <f aca="false">IFERROR(INDEX('Все компании'!$R$5:$R$53,MATCH(C6,'Все компании'!$B$5:$B$53,0)),"")</f>
        <v>reshenie.uz@mail.ru (на англ. версии — ssaash@mail.ru)</v>
      </c>
      <c r="G6" s="5" t="str">
        <f aca="false">IFERROR(INDEX('Все компании'!$S$5:$S$53,MATCH(C6,'Все компании'!$B$5:$B$53,0)),"")</f>
        <v>reshenie.uz</v>
      </c>
      <c r="H6" s="4" t="str">
        <f aca="false">IFERROR(INDEX('Все компании'!$W$5:$W$53,MATCH(C6,'Все компании'!$B$5:$B$53,0)),"")</f>
        <v>B</v>
      </c>
      <c r="I6" s="13" t="s">
        <v>416</v>
      </c>
      <c r="J6" s="13"/>
      <c r="K6" s="13"/>
    </row>
    <row r="7" customFormat="false" ht="23.85" hidden="false" customHeight="false" outlineLevel="0" collapsed="false">
      <c r="A7" s="4" t="s">
        <v>8</v>
      </c>
      <c r="B7" s="4" t="n">
        <v>2</v>
      </c>
      <c r="C7" s="5" t="s">
        <v>270</v>
      </c>
      <c r="D7" s="5" t="s">
        <v>417</v>
      </c>
      <c r="E7" s="5" t="str">
        <f aca="false">IFERROR(INDEX('Все компании'!$Q$5:$Q$53,MATCH(C7,'Все компании'!$B$5:$B$53,0)),"")</f>
        <v>+998 99 855 18 55; +998 99 825 82 56</v>
      </c>
      <c r="F7" s="5" t="str">
        <f aca="false">IFERROR(INDEX('Все компании'!$R$5:$R$53,MATCH(C7,'Все компании'!$B$5:$B$53,0)),"")</f>
        <v>—</v>
      </c>
      <c r="G7" s="5" t="str">
        <f aca="false">IFERROR(INDEX('Все компании'!$S$5:$S$53,MATCH(C7,'Все компании'!$B$5:$B$53,0)),"")</f>
        <v>svet.uz</v>
      </c>
      <c r="H7" s="4" t="str">
        <f aca="false">IFERROR(INDEX('Все компании'!$W$5:$W$53,MATCH(C7,'Все компании'!$B$5:$B$53,0)),"")</f>
        <v>B</v>
      </c>
      <c r="I7" s="13" t="s">
        <v>416</v>
      </c>
      <c r="J7" s="13"/>
      <c r="K7" s="13"/>
    </row>
    <row r="8" customFormat="false" ht="23.85" hidden="false" customHeight="false" outlineLevel="0" collapsed="false">
      <c r="A8" s="4" t="s">
        <v>8</v>
      </c>
      <c r="B8" s="4" t="n">
        <v>3</v>
      </c>
      <c r="C8" s="5" t="s">
        <v>261</v>
      </c>
      <c r="D8" s="5" t="s">
        <v>418</v>
      </c>
      <c r="E8" s="5" t="str">
        <f aca="false">IFERROR(INDEX('Все компании'!$Q$5:$Q$53,MATCH(C8,'Все компании'!$B$5:$B$53,0)),"")</f>
        <v>+998 90 187 14 67</v>
      </c>
      <c r="F8" s="5" t="str">
        <f aca="false">IFERROR(INDEX('Все компании'!$R$5:$R$53,MATCH(C8,'Все компании'!$B$5:$B$53,0)),"")</f>
        <v>admin@proflend.uz</v>
      </c>
      <c r="G8" s="5" t="str">
        <f aca="false">IFERROR(INDEX('Все компании'!$S$5:$S$53,MATCH(C8,'Все компании'!$B$5:$B$53,0)),"")</f>
        <v>proflend.uz</v>
      </c>
      <c r="H8" s="4" t="str">
        <f aca="false">IFERROR(INDEX('Все компании'!$W$5:$W$53,MATCH(C8,'Все компании'!$B$5:$B$53,0)),"")</f>
        <v>A</v>
      </c>
      <c r="I8" s="13" t="s">
        <v>416</v>
      </c>
      <c r="J8" s="13"/>
      <c r="K8" s="13"/>
    </row>
    <row r="9" customFormat="false" ht="15" hidden="false" customHeight="false" outlineLevel="0" collapsed="false">
      <c r="A9" s="4" t="s">
        <v>8</v>
      </c>
      <c r="B9" s="4" t="n">
        <v>4</v>
      </c>
      <c r="C9" s="5" t="s">
        <v>277</v>
      </c>
      <c r="D9" s="5" t="s">
        <v>419</v>
      </c>
      <c r="E9" s="5" t="str">
        <f aca="false">IFERROR(INDEX('Все компании'!$Q$5:$Q$53,MATCH(C9,'Все компании'!$B$5:$B$53,0)),"")</f>
        <v>+998 98 309 69 00</v>
      </c>
      <c r="F9" s="5" t="str">
        <f aca="false">IFERROR(INDEX('Все компании'!$R$5:$R$53,MATCH(C9,'Все компании'!$B$5:$B$53,0)),"")</f>
        <v>—</v>
      </c>
      <c r="G9" s="5" t="str">
        <f aca="false">IFERROR(INDEX('Все компании'!$S$5:$S$53,MATCH(C9,'Все компании'!$B$5:$B$53,0)),"")</f>
        <v>—</v>
      </c>
      <c r="H9" s="4" t="str">
        <f aca="false">IFERROR(INDEX('Все компании'!$W$5:$W$53,MATCH(C9,'Все компании'!$B$5:$B$53,0)),"")</f>
        <v>C</v>
      </c>
      <c r="I9" s="13" t="s">
        <v>416</v>
      </c>
      <c r="J9" s="13"/>
      <c r="K9" s="13"/>
    </row>
    <row r="10" customFormat="false" ht="23.85" hidden="false" customHeight="false" outlineLevel="0" collapsed="false">
      <c r="A10" s="4" t="s">
        <v>8</v>
      </c>
      <c r="B10" s="4" t="n">
        <v>5</v>
      </c>
      <c r="C10" s="5" t="s">
        <v>297</v>
      </c>
      <c r="D10" s="5" t="s">
        <v>420</v>
      </c>
      <c r="E10" s="5" t="str">
        <f aca="false">IFERROR(INDEX('Все компании'!$Q$5:$Q$53,MATCH(C10,'Все компании'!$B$5:$B$53,0)),"")</f>
        <v>+998 78 555 48 94; +998 88 113 87 87</v>
      </c>
      <c r="F10" s="5" t="str">
        <f aca="false">IFERROR(INDEX('Все компании'!$R$5:$R$53,MATCH(C10,'Все компании'!$B$5:$B$53,0)),"")</f>
        <v>—</v>
      </c>
      <c r="G10" s="5" t="str">
        <f aca="false">IFERROR(INDEX('Все компании'!$S$5:$S$53,MATCH(C10,'Все компании'!$B$5:$B$53,0)),"")</f>
        <v>service-eco.uz</v>
      </c>
      <c r="H10" s="4" t="str">
        <f aca="false">IFERROR(INDEX('Все компании'!$W$5:$W$53,MATCH(C10,'Все компании'!$B$5:$B$53,0)),"")</f>
        <v>B</v>
      </c>
      <c r="I10" s="13" t="s">
        <v>416</v>
      </c>
      <c r="J10" s="13"/>
      <c r="K10" s="13"/>
    </row>
    <row r="11" customFormat="false" ht="15" hidden="false" customHeight="false" outlineLevel="0" collapsed="false">
      <c r="A11" s="12" t="s">
        <v>12</v>
      </c>
      <c r="B11" s="12"/>
      <c r="C11" s="12"/>
      <c r="D11" s="12"/>
      <c r="E11" s="12"/>
      <c r="F11" s="12"/>
      <c r="G11" s="12"/>
      <c r="H11" s="12"/>
      <c r="I11" s="12"/>
      <c r="J11" s="12"/>
      <c r="K11" s="12"/>
    </row>
    <row r="12" customFormat="false" ht="23.85" hidden="false" customHeight="false" outlineLevel="0" collapsed="false">
      <c r="A12" s="4" t="s">
        <v>11</v>
      </c>
      <c r="B12" s="4" t="n">
        <v>1</v>
      </c>
      <c r="C12" s="5" t="s">
        <v>172</v>
      </c>
      <c r="D12" s="5" t="s">
        <v>421</v>
      </c>
      <c r="E12" s="5" t="str">
        <f aca="false">IFERROR(INDEX('Все компании'!$Q$5:$Q$53,MATCH(C12,'Все компании'!$B$5:$B$53,0)),"")</f>
        <v>+998 90 998 00 50 (также Telegram)</v>
      </c>
      <c r="F12" s="5" t="str">
        <f aca="false">IFERROR(INDEX('Все компании'!$R$5:$R$53,MATCH(C12,'Все компании'!$B$5:$B$53,0)),"")</f>
        <v>info@fuse.uz</v>
      </c>
      <c r="G12" s="5" t="str">
        <f aca="false">IFERROR(INDEX('Все компании'!$S$5:$S$53,MATCH(C12,'Все компании'!$B$5:$B$53,0)),"")</f>
        <v>fuse.uz</v>
      </c>
      <c r="H12" s="4" t="str">
        <f aca="false">IFERROR(INDEX('Все компании'!$W$5:$W$53,MATCH(C12,'Все компании'!$B$5:$B$53,0)),"")</f>
        <v>A</v>
      </c>
      <c r="I12" s="13" t="s">
        <v>416</v>
      </c>
      <c r="J12" s="13"/>
      <c r="K12" s="13"/>
    </row>
    <row r="13" customFormat="false" ht="23.85" hidden="false" customHeight="false" outlineLevel="0" collapsed="false">
      <c r="A13" s="4" t="s">
        <v>11</v>
      </c>
      <c r="B13" s="4" t="n">
        <v>2</v>
      </c>
      <c r="C13" s="5" t="s">
        <v>217</v>
      </c>
      <c r="D13" s="5" t="s">
        <v>422</v>
      </c>
      <c r="E13" s="5" t="str">
        <f aca="false">IFERROR(INDEX('Все компании'!$Q$5:$Q$53,MATCH(C13,'Все компании'!$B$5:$B$53,0)),"")</f>
        <v>+998 55 500 99 00; +998 99 119 12 12</v>
      </c>
      <c r="F13" s="5" t="str">
        <f aca="false">IFERROR(INDEX('Все компании'!$R$5:$R$53,MATCH(C13,'Все компании'!$B$5:$B$53,0)),"")</f>
        <v>info@everestgroup.uz</v>
      </c>
      <c r="G13" s="5" t="str">
        <f aca="false">IFERROR(INDEX('Все компании'!$S$5:$S$53,MATCH(C13,'Все компании'!$B$5:$B$53,0)),"")</f>
        <v>everestgroup.uz</v>
      </c>
      <c r="H13" s="4" t="str">
        <f aca="false">IFERROR(INDEX('Все компании'!$W$5:$W$53,MATCH(C13,'Все компании'!$B$5:$B$53,0)),"")</f>
        <v>A</v>
      </c>
      <c r="I13" s="13" t="s">
        <v>416</v>
      </c>
      <c r="J13" s="13"/>
      <c r="K13" s="13"/>
    </row>
    <row r="14" customFormat="false" ht="23.85" hidden="false" customHeight="false" outlineLevel="0" collapsed="false">
      <c r="A14" s="4" t="s">
        <v>11</v>
      </c>
      <c r="B14" s="4" t="n">
        <v>3</v>
      </c>
      <c r="C14" s="5" t="s">
        <v>225</v>
      </c>
      <c r="D14" s="5" t="s">
        <v>423</v>
      </c>
      <c r="E14" s="5" t="str">
        <f aca="false">IFERROR(INDEX('Все компании'!$Q$5:$Q$53,MATCH(C14,'Все компании'!$B$5:$B$53,0)),"")</f>
        <v>+998 77 299 07 77 (сервисный центр)</v>
      </c>
      <c r="F14" s="5" t="str">
        <f aca="false">IFERROR(INDEX('Все компании'!$R$5:$R$53,MATCH(C14,'Все компании'!$B$5:$B$53,0)),"")</f>
        <v>—</v>
      </c>
      <c r="G14" s="5" t="str">
        <f aca="false">IFERROR(INDEX('Все компании'!$S$5:$S$53,MATCH(C14,'Все компании'!$B$5:$B$53,0)),"")</f>
        <v>daikin-dc.uz; directcool.uz</v>
      </c>
      <c r="H14" s="4" t="str">
        <f aca="false">IFERROR(INDEX('Все компании'!$W$5:$W$53,MATCH(C14,'Все компании'!$B$5:$B$53,0)),"")</f>
        <v>B</v>
      </c>
      <c r="I14" s="13" t="s">
        <v>416</v>
      </c>
      <c r="J14" s="13"/>
      <c r="K14" s="13"/>
    </row>
    <row r="15" customFormat="false" ht="23.85" hidden="false" customHeight="false" outlineLevel="0" collapsed="false">
      <c r="A15" s="4" t="s">
        <v>11</v>
      </c>
      <c r="B15" s="4" t="n">
        <v>4</v>
      </c>
      <c r="C15" s="5" t="s">
        <v>182</v>
      </c>
      <c r="D15" s="5" t="s">
        <v>424</v>
      </c>
      <c r="E15" s="5" t="str">
        <f aca="false">IFERROR(INDEX('Все компании'!$Q$5:$Q$53,MATCH(C15,'Все компании'!$B$5:$B$53,0)),"")</f>
        <v>+998 71 248 79 79; +998 90 926 67 76; +998 97 480 79 80</v>
      </c>
      <c r="F15" s="5" t="str">
        <f aca="false">IFERROR(INDEX('Все компании'!$R$5:$R$53,MATCH(C15,'Все компании'!$B$5:$B$53,0)),"")</f>
        <v>info@smartheating.uz</v>
      </c>
      <c r="G15" s="5" t="str">
        <f aca="false">IFERROR(INDEX('Все компании'!$S$5:$S$53,MATCH(C15,'Все компании'!$B$5:$B$53,0)),"")</f>
        <v>smartheating.uz</v>
      </c>
      <c r="H15" s="4" t="str">
        <f aca="false">IFERROR(INDEX('Все компании'!$W$5:$W$53,MATCH(C15,'Все компании'!$B$5:$B$53,0)),"")</f>
        <v>A</v>
      </c>
      <c r="I15" s="13" t="s">
        <v>416</v>
      </c>
      <c r="J15" s="13"/>
      <c r="K15" s="13"/>
    </row>
    <row r="16" customFormat="false" ht="23.85" hidden="false" customHeight="false" outlineLevel="0" collapsed="false">
      <c r="A16" s="4" t="s">
        <v>11</v>
      </c>
      <c r="B16" s="4" t="n">
        <v>5</v>
      </c>
      <c r="C16" s="5" t="s">
        <v>238</v>
      </c>
      <c r="D16" s="5" t="s">
        <v>425</v>
      </c>
      <c r="E16" s="5" t="str">
        <f aca="false">IFERROR(INDEX('Все компании'!$Q$5:$Q$53,MATCH(C16,'Все компании'!$B$5:$B$53,0)),"")</f>
        <v>+998 90 849 22 22 (также Telegram)</v>
      </c>
      <c r="F16" s="5" t="str">
        <f aca="false">IFERROR(INDEX('Все компании'!$R$5:$R$53,MATCH(C16,'Все компании'!$B$5:$B$53,0)),"")</f>
        <v>—</v>
      </c>
      <c r="G16" s="5" t="str">
        <f aca="false">IFERROR(INDEX('Все компании'!$S$5:$S$53,MATCH(C16,'Все компании'!$B$5:$B$53,0)),"")</f>
        <v>climatecenter.uz</v>
      </c>
      <c r="H16" s="4" t="str">
        <f aca="false">IFERROR(INDEX('Все компании'!$W$5:$W$53,MATCH(C16,'Все компании'!$B$5:$B$53,0)),"")</f>
        <v>B</v>
      </c>
      <c r="I16" s="13" t="s">
        <v>416</v>
      </c>
      <c r="J16" s="13"/>
      <c r="K16" s="13"/>
    </row>
    <row r="17" customFormat="false" ht="15" hidden="false" customHeight="false" outlineLevel="0" collapsed="false">
      <c r="A17" s="12" t="s">
        <v>15</v>
      </c>
      <c r="B17" s="12"/>
      <c r="C17" s="12"/>
      <c r="D17" s="12"/>
      <c r="E17" s="12"/>
      <c r="F17" s="12"/>
      <c r="G17" s="12"/>
      <c r="H17" s="12"/>
      <c r="I17" s="12"/>
      <c r="J17" s="12"/>
      <c r="K17" s="12"/>
    </row>
    <row r="18" customFormat="false" ht="23.85" hidden="false" customHeight="false" outlineLevel="0" collapsed="false">
      <c r="A18" s="4" t="s">
        <v>14</v>
      </c>
      <c r="B18" s="4" t="n">
        <v>1</v>
      </c>
      <c r="C18" s="5" t="s">
        <v>162</v>
      </c>
      <c r="D18" s="5" t="s">
        <v>426</v>
      </c>
      <c r="E18" s="5" t="str">
        <f aca="false">IFERROR(INDEX('Все компании'!$Q$5:$Q$53,MATCH(C18,'Все компании'!$B$5:$B$53,0)),"")</f>
        <v>+998 71 231 64 99; +998 71 231 64 90</v>
      </c>
      <c r="F18" s="5" t="str">
        <f aca="false">IFERROR(INDEX('Все компании'!$R$5:$R$53,MATCH(C18,'Все компании'!$B$5:$B$53,0)),"")</f>
        <v>info@italheat.com</v>
      </c>
      <c r="G18" s="5" t="str">
        <f aca="false">IFERROR(INDEX('Все компании'!$S$5:$S$53,MATCH(C18,'Все компании'!$B$5:$B$53,0)),"")</f>
        <v>italheat.com</v>
      </c>
      <c r="H18" s="4" t="str">
        <f aca="false">IFERROR(INDEX('Все компании'!$W$5:$W$53,MATCH(C18,'Все компании'!$B$5:$B$53,0)),"")</f>
        <v>B</v>
      </c>
      <c r="I18" s="13" t="s">
        <v>416</v>
      </c>
      <c r="J18" s="13"/>
      <c r="K18" s="13"/>
    </row>
    <row r="19" customFormat="false" ht="23.85" hidden="false" customHeight="false" outlineLevel="0" collapsed="false">
      <c r="A19" s="4" t="s">
        <v>14</v>
      </c>
      <c r="B19" s="4" t="n">
        <v>2</v>
      </c>
      <c r="C19" s="5" t="s">
        <v>172</v>
      </c>
      <c r="D19" s="5" t="s">
        <v>427</v>
      </c>
      <c r="E19" s="5" t="str">
        <f aca="false">IFERROR(INDEX('Все компании'!$Q$5:$Q$53,MATCH(C19,'Все компании'!$B$5:$B$53,0)),"")</f>
        <v>+998 90 998 00 50 (также Telegram)</v>
      </c>
      <c r="F19" s="5" t="str">
        <f aca="false">IFERROR(INDEX('Все компании'!$R$5:$R$53,MATCH(C19,'Все компании'!$B$5:$B$53,0)),"")</f>
        <v>info@fuse.uz</v>
      </c>
      <c r="G19" s="5" t="str">
        <f aca="false">IFERROR(INDEX('Все компании'!$S$5:$S$53,MATCH(C19,'Все компании'!$B$5:$B$53,0)),"")</f>
        <v>fuse.uz</v>
      </c>
      <c r="H19" s="4" t="str">
        <f aca="false">IFERROR(INDEX('Все компании'!$W$5:$W$53,MATCH(C19,'Все компании'!$B$5:$B$53,0)),"")</f>
        <v>A</v>
      </c>
      <c r="I19" s="13" t="s">
        <v>416</v>
      </c>
      <c r="J19" s="13"/>
      <c r="K19" s="13"/>
    </row>
    <row r="20" customFormat="false" ht="23.85" hidden="false" customHeight="false" outlineLevel="0" collapsed="false">
      <c r="A20" s="4" t="s">
        <v>14</v>
      </c>
      <c r="B20" s="4" t="n">
        <v>3</v>
      </c>
      <c r="C20" s="5" t="s">
        <v>182</v>
      </c>
      <c r="D20" s="5" t="s">
        <v>428</v>
      </c>
      <c r="E20" s="5" t="str">
        <f aca="false">IFERROR(INDEX('Все компании'!$Q$5:$Q$53,MATCH(C20,'Все компании'!$B$5:$B$53,0)),"")</f>
        <v>+998 71 248 79 79; +998 90 926 67 76; +998 97 480 79 80</v>
      </c>
      <c r="F20" s="5" t="str">
        <f aca="false">IFERROR(INDEX('Все компании'!$R$5:$R$53,MATCH(C20,'Все компании'!$B$5:$B$53,0)),"")</f>
        <v>info@smartheating.uz</v>
      </c>
      <c r="G20" s="5" t="str">
        <f aca="false">IFERROR(INDEX('Все компании'!$S$5:$S$53,MATCH(C20,'Все компании'!$B$5:$B$53,0)),"")</f>
        <v>smartheating.uz</v>
      </c>
      <c r="H20" s="4" t="str">
        <f aca="false">IFERROR(INDEX('Все компании'!$W$5:$W$53,MATCH(C20,'Все компании'!$B$5:$B$53,0)),"")</f>
        <v>A</v>
      </c>
      <c r="I20" s="13" t="s">
        <v>416</v>
      </c>
      <c r="J20" s="13"/>
      <c r="K20" s="13"/>
    </row>
    <row r="21" customFormat="false" ht="15" hidden="false" customHeight="false" outlineLevel="0" collapsed="false">
      <c r="A21" s="4" t="s">
        <v>14</v>
      </c>
      <c r="B21" s="4" t="n">
        <v>4</v>
      </c>
      <c r="C21" s="5" t="s">
        <v>191</v>
      </c>
      <c r="D21" s="5" t="s">
        <v>429</v>
      </c>
      <c r="E21" s="5" t="str">
        <f aca="false">IFERROR(INDEX('Все компании'!$Q$5:$Q$53,MATCH(C21,'Все компании'!$B$5:$B$53,0)),"")</f>
        <v>—</v>
      </c>
      <c r="F21" s="5" t="str">
        <f aca="false">IFERROR(INDEX('Все компании'!$R$5:$R$53,MATCH(C21,'Все компании'!$B$5:$B$53,0)),"")</f>
        <v>—</v>
      </c>
      <c r="G21" s="5" t="str">
        <f aca="false">IFERROR(INDEX('Все компании'!$S$5:$S$53,MATCH(C21,'Все компании'!$B$5:$B$53,0)),"")</f>
        <v>—</v>
      </c>
      <c r="H21" s="4" t="str">
        <f aca="false">IFERROR(INDEX('Все компании'!$W$5:$W$53,MATCH(C21,'Все компании'!$B$5:$B$53,0)),"")</f>
        <v>C</v>
      </c>
      <c r="I21" s="13" t="s">
        <v>416</v>
      </c>
      <c r="J21" s="13"/>
      <c r="K21" s="13"/>
    </row>
    <row r="22" customFormat="false" ht="15" hidden="false" customHeight="false" outlineLevel="0" collapsed="false">
      <c r="A22" s="4" t="s">
        <v>14</v>
      </c>
      <c r="B22" s="4" t="n">
        <v>5</v>
      </c>
      <c r="C22" s="5" t="s">
        <v>197</v>
      </c>
      <c r="D22" s="5" t="s">
        <v>430</v>
      </c>
      <c r="E22" s="5" t="str">
        <f aca="false">IFERROR(INDEX('Все компании'!$Q$5:$Q$53,MATCH(C22,'Все компании'!$B$5:$B$53,0)),"")</f>
        <v>—</v>
      </c>
      <c r="F22" s="5" t="str">
        <f aca="false">IFERROR(INDEX('Все компании'!$R$5:$R$53,MATCH(C22,'Все компании'!$B$5:$B$53,0)),"")</f>
        <v>—</v>
      </c>
      <c r="G22" s="5" t="str">
        <f aca="false">IFERROR(INDEX('Все компании'!$S$5:$S$53,MATCH(C22,'Все компании'!$B$5:$B$53,0)),"")</f>
        <v>btsgroup.uz</v>
      </c>
      <c r="H22" s="4" t="str">
        <f aca="false">IFERROR(INDEX('Все компании'!$W$5:$W$53,MATCH(C22,'Все компании'!$B$5:$B$53,0)),"")</f>
        <v>C</v>
      </c>
      <c r="I22" s="13" t="s">
        <v>416</v>
      </c>
      <c r="J22" s="13"/>
      <c r="K22" s="13"/>
    </row>
    <row r="23" customFormat="false" ht="15" hidden="false" customHeight="false" outlineLevel="0" collapsed="false">
      <c r="A23" s="12" t="s">
        <v>18</v>
      </c>
      <c r="B23" s="12"/>
      <c r="C23" s="12"/>
      <c r="D23" s="12"/>
      <c r="E23" s="12"/>
      <c r="F23" s="12"/>
      <c r="G23" s="12"/>
      <c r="H23" s="12"/>
      <c r="I23" s="12"/>
      <c r="J23" s="12"/>
      <c r="K23" s="12"/>
    </row>
    <row r="24" customFormat="false" ht="23.85" hidden="false" customHeight="false" outlineLevel="0" collapsed="false">
      <c r="A24" s="4" t="s">
        <v>17</v>
      </c>
      <c r="B24" s="4" t="n">
        <v>1</v>
      </c>
      <c r="C24" s="5" t="s">
        <v>70</v>
      </c>
      <c r="D24" s="5" t="s">
        <v>431</v>
      </c>
      <c r="E24" s="5" t="str">
        <f aca="false">IFERROR(INDEX('Все компании'!$Q$5:$Q$53,MATCH(C24,'Все компании'!$B$5:$B$53,0)),"")</f>
        <v>+998 71 205 52 25; +998 71 254 86 06</v>
      </c>
      <c r="F24" s="5" t="str">
        <f aca="false">IFERROR(INDEX('Все компании'!$R$5:$R$53,MATCH(C24,'Все компании'!$B$5:$B$53,0)),"")</f>
        <v>info@lift-universal.uz</v>
      </c>
      <c r="G24" s="5" t="str">
        <f aca="false">IFERROR(INDEX('Все компании'!$S$5:$S$53,MATCH(C24,'Все компании'!$B$5:$B$53,0)),"")</f>
        <v>lift-universal.uz</v>
      </c>
      <c r="H24" s="4" t="str">
        <f aca="false">IFERROR(INDEX('Все компании'!$W$5:$W$53,MATCH(C24,'Все компании'!$B$5:$B$53,0)),"")</f>
        <v>A</v>
      </c>
      <c r="I24" s="13" t="s">
        <v>416</v>
      </c>
      <c r="J24" s="13"/>
      <c r="K24" s="13"/>
    </row>
    <row r="25" customFormat="false" ht="35.05" hidden="false" customHeight="false" outlineLevel="0" collapsed="false">
      <c r="A25" s="4" t="s">
        <v>17</v>
      </c>
      <c r="B25" s="4" t="n">
        <v>2</v>
      </c>
      <c r="C25" s="5" t="s">
        <v>93</v>
      </c>
      <c r="D25" s="5" t="s">
        <v>432</v>
      </c>
      <c r="E25" s="5" t="str">
        <f aca="false">IFERROR(INDEX('Все компании'!$Q$5:$Q$53,MATCH(C25,'Все компании'!$B$5:$B$53,0)),"")</f>
        <v>+998 71 207 40 04</v>
      </c>
      <c r="F25" s="5" t="str">
        <f aca="false">IFERROR(INDEX('Все компании'!$R$5:$R$53,MATCH(C25,'Все компании'!$B$5:$B$53,0)),"")</f>
        <v>info@liftees.uz; tahir.salihov@mail.ru (Expert Elevator Service)</v>
      </c>
      <c r="G25" s="5" t="str">
        <f aca="false">IFERROR(INDEX('Все компании'!$S$5:$S$53,MATCH(C25,'Все компании'!$B$5:$B$53,0)),"")</f>
        <v>liftees.uz</v>
      </c>
      <c r="H25" s="4" t="str">
        <f aca="false">IFERROR(INDEX('Все компании'!$W$5:$W$53,MATCH(C25,'Все компании'!$B$5:$B$53,0)),"")</f>
        <v>A</v>
      </c>
      <c r="I25" s="13" t="s">
        <v>416</v>
      </c>
      <c r="J25" s="13"/>
      <c r="K25" s="13"/>
    </row>
    <row r="26" customFormat="false" ht="15" hidden="false" customHeight="false" outlineLevel="0" collapsed="false">
      <c r="A26" s="4" t="s">
        <v>17</v>
      </c>
      <c r="B26" s="4" t="n">
        <v>3</v>
      </c>
      <c r="C26" s="5" t="s">
        <v>84</v>
      </c>
      <c r="D26" s="5" t="s">
        <v>433</v>
      </c>
      <c r="E26" s="5" t="str">
        <f aca="false">IFERROR(INDEX('Все компании'!$Q$5:$Q$53,MATCH(C26,'Все компании'!$B$5:$B$53,0)),"")</f>
        <v>+998 71 235 20 05</v>
      </c>
      <c r="F26" s="5" t="str">
        <f aca="false">IFERROR(INDEX('Все компании'!$R$5:$R$53,MATCH(C26,'Все компании'!$B$5:$B$53,0)),"")</f>
        <v>info@valtlift.com</v>
      </c>
      <c r="G26" s="5" t="str">
        <f aca="false">IFERROR(INDEX('Все компании'!$S$5:$S$53,MATCH(C26,'Все компании'!$B$5:$B$53,0)),"")</f>
        <v>valtlift.com</v>
      </c>
      <c r="H26" s="4" t="str">
        <f aca="false">IFERROR(INDEX('Все компании'!$W$5:$W$53,MATCH(C26,'Все компании'!$B$5:$B$53,0)),"")</f>
        <v>A</v>
      </c>
      <c r="I26" s="13" t="s">
        <v>416</v>
      </c>
      <c r="J26" s="13"/>
      <c r="K26" s="13"/>
    </row>
    <row r="27" customFormat="false" ht="23.85" hidden="false" customHeight="false" outlineLevel="0" collapsed="false">
      <c r="A27" s="4" t="s">
        <v>17</v>
      </c>
      <c r="B27" s="4" t="n">
        <v>4</v>
      </c>
      <c r="C27" s="5" t="s">
        <v>102</v>
      </c>
      <c r="D27" s="5" t="s">
        <v>434</v>
      </c>
      <c r="E27" s="5" t="str">
        <f aca="false">IFERROR(INDEX('Все компании'!$Q$5:$Q$53,MATCH(C27,'Все компании'!$B$5:$B$53,0)),"")</f>
        <v>+998 94 660 41 52; +998 95 169 74 63; +998 95 143 74 63</v>
      </c>
      <c r="F27" s="5" t="str">
        <f aca="false">IFERROR(INDEX('Все компании'!$R$5:$R$53,MATCH(C27,'Все компании'!$B$5:$B$53,0)),"")</f>
        <v>masterlift@list.ru</v>
      </c>
      <c r="G27" s="5" t="str">
        <f aca="false">IFERROR(INDEX('Все компании'!$S$5:$S$53,MATCH(C27,'Все компании'!$B$5:$B$53,0)),"")</f>
        <v>—</v>
      </c>
      <c r="H27" s="4" t="str">
        <f aca="false">IFERROR(INDEX('Все компании'!$W$5:$W$53,MATCH(C27,'Все компании'!$B$5:$B$53,0)),"")</f>
        <v>B</v>
      </c>
      <c r="I27" s="13" t="s">
        <v>416</v>
      </c>
      <c r="J27" s="13"/>
      <c r="K27" s="13"/>
    </row>
    <row r="28" customFormat="false" ht="15" hidden="false" customHeight="false" outlineLevel="0" collapsed="false">
      <c r="A28" s="4" t="s">
        <v>17</v>
      </c>
      <c r="B28" s="4" t="n">
        <v>5</v>
      </c>
      <c r="C28" s="5" t="s">
        <v>110</v>
      </c>
      <c r="D28" s="5" t="s">
        <v>434</v>
      </c>
      <c r="E28" s="5" t="str">
        <f aca="false">IFERROR(INDEX('Все компании'!$Q$5:$Q$53,MATCH(C28,'Все компании'!$B$5:$B$53,0)),"")</f>
        <v>+998 33 038 88 88</v>
      </c>
      <c r="F28" s="5" t="str">
        <f aca="false">IFERROR(INDEX('Все компании'!$R$5:$R$53,MATCH(C28,'Все компании'!$B$5:$B$53,0)),"")</f>
        <v>—</v>
      </c>
      <c r="G28" s="5" t="str">
        <f aca="false">IFERROR(INDEX('Все компании'!$S$5:$S$53,MATCH(C28,'Все компании'!$B$5:$B$53,0)),"")</f>
        <v>high-lift.uz</v>
      </c>
      <c r="H28" s="4" t="str">
        <f aca="false">IFERROR(INDEX('Все компании'!$W$5:$W$53,MATCH(C28,'Все компании'!$B$5:$B$53,0)),"")</f>
        <v>B</v>
      </c>
      <c r="I28" s="13" t="s">
        <v>416</v>
      </c>
      <c r="J28" s="13"/>
      <c r="K28" s="13"/>
    </row>
    <row r="29" customFormat="false" ht="15" hidden="false" customHeight="false" outlineLevel="0" collapsed="false">
      <c r="A29" s="12" t="s">
        <v>21</v>
      </c>
      <c r="B29" s="12"/>
      <c r="C29" s="12"/>
      <c r="D29" s="12"/>
      <c r="E29" s="12"/>
      <c r="F29" s="12"/>
      <c r="G29" s="12"/>
      <c r="H29" s="12"/>
      <c r="I29" s="12"/>
      <c r="J29" s="12"/>
      <c r="K29" s="12"/>
    </row>
    <row r="30" customFormat="false" ht="23.85" hidden="false" customHeight="false" outlineLevel="0" collapsed="false">
      <c r="A30" s="4" t="s">
        <v>20</v>
      </c>
      <c r="B30" s="4" t="n">
        <v>1</v>
      </c>
      <c r="C30" s="5" t="s">
        <v>182</v>
      </c>
      <c r="D30" s="5" t="s">
        <v>435</v>
      </c>
      <c r="E30" s="5" t="str">
        <f aca="false">IFERROR(INDEX('Все компании'!$Q$5:$Q$53,MATCH(C30,'Все компании'!$B$5:$B$53,0)),"")</f>
        <v>+998 71 248 79 79; +998 90 926 67 76; +998 97 480 79 80</v>
      </c>
      <c r="F30" s="5" t="str">
        <f aca="false">IFERROR(INDEX('Все компании'!$R$5:$R$53,MATCH(C30,'Все компании'!$B$5:$B$53,0)),"")</f>
        <v>info@smartheating.uz</v>
      </c>
      <c r="G30" s="5" t="str">
        <f aca="false">IFERROR(INDEX('Все компании'!$S$5:$S$53,MATCH(C30,'Все компании'!$B$5:$B$53,0)),"")</f>
        <v>smartheating.uz</v>
      </c>
      <c r="H30" s="4" t="str">
        <f aca="false">IFERROR(INDEX('Все компании'!$W$5:$W$53,MATCH(C30,'Все компании'!$B$5:$B$53,0)),"")</f>
        <v>A</v>
      </c>
      <c r="I30" s="13" t="s">
        <v>416</v>
      </c>
      <c r="J30" s="13"/>
      <c r="K30" s="13"/>
    </row>
    <row r="31" customFormat="false" ht="23.85" hidden="false" customHeight="false" outlineLevel="0" collapsed="false">
      <c r="A31" s="4" t="s">
        <v>20</v>
      </c>
      <c r="B31" s="4" t="n">
        <v>2</v>
      </c>
      <c r="C31" s="5" t="s">
        <v>288</v>
      </c>
      <c r="D31" s="5" t="s">
        <v>436</v>
      </c>
      <c r="E31" s="5" t="str">
        <f aca="false">IFERROR(INDEX('Все компании'!$Q$5:$Q$53,MATCH(C31,'Все компании'!$B$5:$B$53,0)),"")</f>
        <v>+998 93 103 70 77 (Telegram/WhatsApp)</v>
      </c>
      <c r="F31" s="5" t="str">
        <f aca="false">IFERROR(INDEX('Все компании'!$R$5:$R$53,MATCH(C31,'Все компании'!$B$5:$B$53,0)),"")</f>
        <v>reshenie.uz@mail.ru (на англ. версии — ssaash@mail.ru)</v>
      </c>
      <c r="G31" s="5" t="str">
        <f aca="false">IFERROR(INDEX('Все компании'!$S$5:$S$53,MATCH(C31,'Все компании'!$B$5:$B$53,0)),"")</f>
        <v>reshenie.uz</v>
      </c>
      <c r="H31" s="4" t="str">
        <f aca="false">IFERROR(INDEX('Все компании'!$W$5:$W$53,MATCH(C31,'Все компании'!$B$5:$B$53,0)),"")</f>
        <v>B</v>
      </c>
      <c r="I31" s="13" t="s">
        <v>416</v>
      </c>
      <c r="J31" s="13"/>
      <c r="K31" s="13"/>
    </row>
    <row r="32" customFormat="false" ht="23.85" hidden="false" customHeight="false" outlineLevel="0" collapsed="false">
      <c r="A32" s="4" t="s">
        <v>20</v>
      </c>
      <c r="B32" s="4" t="n">
        <v>3</v>
      </c>
      <c r="C32" s="5" t="s">
        <v>172</v>
      </c>
      <c r="D32" s="5" t="s">
        <v>437</v>
      </c>
      <c r="E32" s="5" t="str">
        <f aca="false">IFERROR(INDEX('Все компании'!$Q$5:$Q$53,MATCH(C32,'Все компании'!$B$5:$B$53,0)),"")</f>
        <v>+998 90 998 00 50 (также Telegram)</v>
      </c>
      <c r="F32" s="5" t="str">
        <f aca="false">IFERROR(INDEX('Все компании'!$R$5:$R$53,MATCH(C32,'Все компании'!$B$5:$B$53,0)),"")</f>
        <v>info@fuse.uz</v>
      </c>
      <c r="G32" s="5" t="str">
        <f aca="false">IFERROR(INDEX('Все компании'!$S$5:$S$53,MATCH(C32,'Все компании'!$B$5:$B$53,0)),"")</f>
        <v>fuse.uz</v>
      </c>
      <c r="H32" s="4" t="str">
        <f aca="false">IFERROR(INDEX('Все компании'!$W$5:$W$53,MATCH(C32,'Все компании'!$B$5:$B$53,0)),"")</f>
        <v>A</v>
      </c>
      <c r="I32" s="13" t="s">
        <v>416</v>
      </c>
      <c r="J32" s="13"/>
      <c r="K32" s="13"/>
    </row>
    <row r="33" customFormat="false" ht="15" hidden="false" customHeight="false" outlineLevel="0" collapsed="false">
      <c r="A33" s="4" t="s">
        <v>20</v>
      </c>
      <c r="B33" s="4" t="n">
        <v>4</v>
      </c>
      <c r="C33" s="5" t="s">
        <v>305</v>
      </c>
      <c r="D33" s="5" t="s">
        <v>438</v>
      </c>
      <c r="E33" s="5" t="str">
        <f aca="false">IFERROR(INDEX('Все компании'!$Q$5:$Q$53,MATCH(C33,'Все компании'!$B$5:$B$53,0)),"")</f>
        <v>—</v>
      </c>
      <c r="F33" s="5" t="str">
        <f aca="false">IFERROR(INDEX('Все компании'!$R$5:$R$53,MATCH(C33,'Все компании'!$B$5:$B$53,0)),"")</f>
        <v>—</v>
      </c>
      <c r="G33" s="5" t="str">
        <f aca="false">IFERROR(INDEX('Все компании'!$S$5:$S$53,MATCH(C33,'Все компании'!$B$5:$B$53,0)),"")</f>
        <v>eurosant.uz</v>
      </c>
      <c r="H33" s="4" t="str">
        <f aca="false">IFERROR(INDEX('Все компании'!$W$5:$W$53,MATCH(C33,'Все компании'!$B$5:$B$53,0)),"")</f>
        <v>C</v>
      </c>
      <c r="I33" s="13" t="s">
        <v>416</v>
      </c>
      <c r="J33" s="13"/>
      <c r="K33" s="13"/>
    </row>
    <row r="34" customFormat="false" ht="15" hidden="false" customHeight="false" outlineLevel="0" collapsed="false">
      <c r="A34" s="12" t="s">
        <v>24</v>
      </c>
      <c r="B34" s="12"/>
      <c r="C34" s="12"/>
      <c r="D34" s="12"/>
      <c r="E34" s="12"/>
      <c r="F34" s="12"/>
      <c r="G34" s="12"/>
      <c r="H34" s="12"/>
      <c r="I34" s="12"/>
      <c r="J34" s="12"/>
      <c r="K34" s="12"/>
    </row>
    <row r="35" customFormat="false" ht="23.85" hidden="false" customHeight="false" outlineLevel="0" collapsed="false">
      <c r="A35" s="4" t="s">
        <v>23</v>
      </c>
      <c r="B35" s="4" t="n">
        <v>1</v>
      </c>
      <c r="C35" s="5" t="s">
        <v>319</v>
      </c>
      <c r="D35" s="5" t="s">
        <v>439</v>
      </c>
      <c r="E35" s="5" t="str">
        <f aca="false">IFERROR(INDEX('Все компании'!$Q$5:$Q$53,MATCH(C35,'Все компании'!$B$5:$B$53,0)),"")</f>
        <v>+998 94 431 62 22; +998 33 100 22 00</v>
      </c>
      <c r="F35" s="5" t="str">
        <f aca="false">IFERROR(INDEX('Все компании'!$R$5:$R$53,MATCH(C35,'Все компании'!$B$5:$B$53,0)),"")</f>
        <v>info@newcleaner.uz</v>
      </c>
      <c r="G35" s="5" t="str">
        <f aca="false">IFERROR(INDEX('Все компании'!$S$5:$S$53,MATCH(C35,'Все компании'!$B$5:$B$53,0)),"")</f>
        <v>newcleaner.uz</v>
      </c>
      <c r="H35" s="4" t="str">
        <f aca="false">IFERROR(INDEX('Все компании'!$W$5:$W$53,MATCH(C35,'Все компании'!$B$5:$B$53,0)),"")</f>
        <v>A</v>
      </c>
      <c r="I35" s="13" t="s">
        <v>416</v>
      </c>
      <c r="J35" s="13"/>
      <c r="K35" s="13"/>
    </row>
    <row r="36" customFormat="false" ht="23.85" hidden="false" customHeight="false" outlineLevel="0" collapsed="false">
      <c r="A36" s="4" t="s">
        <v>23</v>
      </c>
      <c r="B36" s="4" t="n">
        <v>2</v>
      </c>
      <c r="C36" s="5" t="s">
        <v>376</v>
      </c>
      <c r="D36" s="5" t="s">
        <v>440</v>
      </c>
      <c r="E36" s="5" t="str">
        <f aca="false">IFERROR(INDEX('Все компании'!$Q$5:$Q$53,MATCH(C36,'Все компании'!$B$5:$B$53,0)),"")</f>
        <v>+998 97 712 88 89; +998 90 915 55 56</v>
      </c>
      <c r="F36" s="5" t="str">
        <f aca="false">IFERROR(INDEX('Все компании'!$R$5:$R$53,MATCH(C36,'Все компании'!$B$5:$B$53,0)),"")</f>
        <v>info@progazon.uz</v>
      </c>
      <c r="G36" s="5" t="str">
        <f aca="false">IFERROR(INDEX('Все компании'!$S$5:$S$53,MATCH(C36,'Все компании'!$B$5:$B$53,0)),"")</f>
        <v>progazon.uz</v>
      </c>
      <c r="H36" s="4" t="str">
        <f aca="false">IFERROR(INDEX('Все компании'!$W$5:$W$53,MATCH(C36,'Все компании'!$B$5:$B$53,0)),"")</f>
        <v>B</v>
      </c>
      <c r="I36" s="13" t="s">
        <v>416</v>
      </c>
      <c r="J36" s="13"/>
      <c r="K36" s="13"/>
    </row>
    <row r="37" customFormat="false" ht="23.85" hidden="false" customHeight="false" outlineLevel="0" collapsed="false">
      <c r="A37" s="4" t="s">
        <v>23</v>
      </c>
      <c r="B37" s="4" t="n">
        <v>3</v>
      </c>
      <c r="C37" s="5" t="s">
        <v>384</v>
      </c>
      <c r="D37" s="5" t="s">
        <v>441</v>
      </c>
      <c r="E37" s="5" t="str">
        <f aca="false">IFERROR(INDEX('Все компании'!$Q$5:$Q$53,MATCH(C37,'Все компании'!$B$5:$B$53,0)),"")</f>
        <v>+998 90 175 47 20</v>
      </c>
      <c r="F37" s="5" t="str">
        <f aca="false">IFERROR(INDEX('Все компании'!$R$5:$R$53,MATCH(C37,'Все компании'!$B$5:$B$53,0)),"")</f>
        <v>—</v>
      </c>
      <c r="G37" s="5" t="str">
        <f aca="false">IFERROR(INDEX('Все компании'!$S$5:$S$53,MATCH(C37,'Все компании'!$B$5:$B$53,0)),"")</f>
        <v>—</v>
      </c>
      <c r="H37" s="4" t="str">
        <f aca="false">IFERROR(INDEX('Все компании'!$W$5:$W$53,MATCH(C37,'Все компании'!$B$5:$B$53,0)),"")</f>
        <v>C</v>
      </c>
      <c r="I37" s="13" t="s">
        <v>416</v>
      </c>
      <c r="J37" s="13"/>
      <c r="K37" s="13"/>
    </row>
    <row r="38" customFormat="false" ht="23.85" hidden="false" customHeight="false" outlineLevel="0" collapsed="false">
      <c r="A38" s="4" t="s">
        <v>23</v>
      </c>
      <c r="B38" s="4" t="n">
        <v>4</v>
      </c>
      <c r="C38" s="5" t="s">
        <v>336</v>
      </c>
      <c r="D38" s="5" t="s">
        <v>442</v>
      </c>
      <c r="E38" s="5" t="str">
        <f aca="false">IFERROR(INDEX('Все компании'!$Q$5:$Q$53,MATCH(C38,'Все компании'!$B$5:$B$53,0)),"")</f>
        <v>+998 99 099 99 83</v>
      </c>
      <c r="F38" s="5" t="str">
        <f aca="false">IFERROR(INDEX('Все компании'!$R$5:$R$53,MATCH(C38,'Все компании'!$B$5:$B$53,0)),"")</f>
        <v>info@skyclean.uz</v>
      </c>
      <c r="G38" s="5" t="str">
        <f aca="false">IFERROR(INDEX('Все компании'!$S$5:$S$53,MATCH(C38,'Все компании'!$B$5:$B$53,0)),"")</f>
        <v>skyclean.uz</v>
      </c>
      <c r="H38" s="4" t="str">
        <f aca="false">IFERROR(INDEX('Все компании'!$W$5:$W$53,MATCH(C38,'Все компании'!$B$5:$B$53,0)),"")</f>
        <v>A</v>
      </c>
      <c r="I38" s="13" t="s">
        <v>416</v>
      </c>
      <c r="J38" s="13"/>
      <c r="K38" s="13"/>
    </row>
    <row r="39" customFormat="false" ht="23.85" hidden="false" customHeight="false" outlineLevel="0" collapsed="false">
      <c r="A39" s="4" t="s">
        <v>23</v>
      </c>
      <c r="B39" s="4" t="n">
        <v>5</v>
      </c>
      <c r="C39" s="5" t="s">
        <v>352</v>
      </c>
      <c r="D39" s="5" t="s">
        <v>443</v>
      </c>
      <c r="E39" s="5" t="str">
        <f aca="false">IFERROR(INDEX('Все компании'!$Q$5:$Q$53,MATCH(C39,'Все компании'!$B$5:$B$53,0)),"")</f>
        <v>90 995 00 44 (номер в каталоге неполный, проверить)</v>
      </c>
      <c r="F39" s="5" t="str">
        <f aca="false">IFERROR(INDEX('Все компании'!$R$5:$R$53,MATCH(C39,'Все компании'!$B$5:$B$53,0)),"")</f>
        <v>cstashkent@mail.ru</v>
      </c>
      <c r="G39" s="5" t="str">
        <f aca="false">IFERROR(INDEX('Все компании'!$S$5:$S$53,MATCH(C39,'Все компании'!$B$5:$B$53,0)),"")</f>
        <v>cleaning.uz</v>
      </c>
      <c r="H39" s="4" t="str">
        <f aca="false">IFERROR(INDEX('Все компании'!$W$5:$W$53,MATCH(C39,'Все компании'!$B$5:$B$53,0)),"")</f>
        <v>B</v>
      </c>
      <c r="I39" s="13" t="s">
        <v>416</v>
      </c>
      <c r="J39" s="13"/>
      <c r="K39" s="13"/>
    </row>
  </sheetData>
  <mergeCells count="6">
    <mergeCell ref="A5:K5"/>
    <mergeCell ref="A11:K11"/>
    <mergeCell ref="A17:K17"/>
    <mergeCell ref="A23:K23"/>
    <mergeCell ref="A29:K29"/>
    <mergeCell ref="A34:K34"/>
  </mergeCells>
  <dataValidations count="1">
    <dataValidation allowBlank="true" errorStyle="stop" operator="between" showDropDown="false" showErrorMessage="false" showInputMessage="false" sqref="I6:I10 I12:I16 I18:I22 I24:I28 I30:I33 I35:I39" type="list">
      <formula1>"Не связывались,Запрос отправлен,КП получено,Отказ,Нет связи"</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2"/>
    <col collapsed="false" customWidth="true" hidden="false" outlineLevel="0" max="4" min="4" style="0" width="44"/>
    <col collapsed="false" customWidth="true" hidden="false" outlineLevel="0" max="6" min="5" style="0" width="28"/>
    <col collapsed="false" customWidth="true" hidden="false" outlineLevel="0" max="7" min="7" style="0" width="20"/>
    <col collapsed="false" customWidth="true" hidden="false" outlineLevel="0" max="8" min="8" style="0" width="12"/>
    <col collapsed="false" customWidth="true" hidden="false" outlineLevel="0" max="9" min="9" style="0" width="18"/>
    <col collapsed="false" customWidth="true" hidden="false" outlineLevel="0" max="10" min="10" style="0" width="13"/>
    <col collapsed="false" customWidth="true" hidden="false" outlineLevel="0" max="11" min="11" style="0" width="30"/>
  </cols>
  <sheetData>
    <row r="1" customFormat="false" ht="16.15" hidden="false" customHeight="false" outlineLevel="0" collapsed="false">
      <c r="A1" s="10" t="s">
        <v>444</v>
      </c>
    </row>
    <row r="2" customFormat="false" ht="15" hidden="false" customHeight="false" outlineLevel="0" collapsed="false">
      <c r="A2" s="11" t="s">
        <v>409</v>
      </c>
    </row>
    <row r="4" customFormat="false" ht="23.85" hidden="false" customHeight="false" outlineLevel="0" collapsed="false">
      <c r="A4" s="3" t="s">
        <v>2</v>
      </c>
      <c r="B4" s="3" t="s">
        <v>410</v>
      </c>
      <c r="C4" s="3" t="s">
        <v>57</v>
      </c>
      <c r="D4" s="3" t="s">
        <v>411</v>
      </c>
      <c r="E4" s="3" t="s">
        <v>61</v>
      </c>
      <c r="F4" s="3" t="s">
        <v>62</v>
      </c>
      <c r="G4" s="3" t="s">
        <v>63</v>
      </c>
      <c r="H4" s="3" t="s">
        <v>67</v>
      </c>
      <c r="I4" s="3" t="s">
        <v>412</v>
      </c>
      <c r="J4" s="3" t="s">
        <v>413</v>
      </c>
      <c r="K4" s="3" t="s">
        <v>414</v>
      </c>
    </row>
    <row r="5" customFormat="false" ht="15" hidden="false" customHeight="false" outlineLevel="0" collapsed="false">
      <c r="A5" s="12" t="s">
        <v>27</v>
      </c>
      <c r="B5" s="12"/>
      <c r="C5" s="12"/>
      <c r="D5" s="12"/>
      <c r="E5" s="12"/>
      <c r="F5" s="12"/>
      <c r="G5" s="12"/>
      <c r="H5" s="12"/>
      <c r="I5" s="12"/>
      <c r="J5" s="12"/>
      <c r="K5" s="12"/>
    </row>
    <row r="6" customFormat="false" ht="23.85" hidden="false" customHeight="false" outlineLevel="0" collapsed="false">
      <c r="A6" s="4" t="s">
        <v>26</v>
      </c>
      <c r="B6" s="4" t="n">
        <v>1</v>
      </c>
      <c r="C6" s="5" t="s">
        <v>288</v>
      </c>
      <c r="D6" s="5" t="s">
        <v>445</v>
      </c>
      <c r="E6" s="5" t="str">
        <f aca="false">IFERROR(INDEX('Все компании'!$Q$5:$Q$53,MATCH(C6,'Все компании'!$B$5:$B$53,0)),"")</f>
        <v>+998 93 103 70 77 (Telegram/WhatsApp)</v>
      </c>
      <c r="F6" s="5" t="str">
        <f aca="false">IFERROR(INDEX('Все компании'!$R$5:$R$53,MATCH(C6,'Все компании'!$B$5:$B$53,0)),"")</f>
        <v>reshenie.uz@mail.ru (на англ. версии — ssaash@mail.ru)</v>
      </c>
      <c r="G6" s="5" t="str">
        <f aca="false">IFERROR(INDEX('Все компании'!$S$5:$S$53,MATCH(C6,'Все компании'!$B$5:$B$53,0)),"")</f>
        <v>reshenie.uz</v>
      </c>
      <c r="H6" s="4" t="str">
        <f aca="false">IFERROR(INDEX('Все компании'!$W$5:$W$53,MATCH(C6,'Все компании'!$B$5:$B$53,0)),"")</f>
        <v>B</v>
      </c>
      <c r="I6" s="13" t="s">
        <v>416</v>
      </c>
      <c r="J6" s="13"/>
      <c r="K6" s="13"/>
    </row>
    <row r="7" customFormat="false" ht="23.85" hidden="false" customHeight="false" outlineLevel="0" collapsed="false">
      <c r="A7" s="4" t="s">
        <v>26</v>
      </c>
      <c r="B7" s="4" t="n">
        <v>2</v>
      </c>
      <c r="C7" s="5" t="s">
        <v>297</v>
      </c>
      <c r="D7" s="5" t="s">
        <v>446</v>
      </c>
      <c r="E7" s="5" t="str">
        <f aca="false">IFERROR(INDEX('Все компании'!$Q$5:$Q$53,MATCH(C7,'Все компании'!$B$5:$B$53,0)),"")</f>
        <v>+998 78 555 48 94; +998 88 113 87 87</v>
      </c>
      <c r="F7" s="5" t="str">
        <f aca="false">IFERROR(INDEX('Все компании'!$R$5:$R$53,MATCH(C7,'Все компании'!$B$5:$B$53,0)),"")</f>
        <v>—</v>
      </c>
      <c r="G7" s="5" t="str">
        <f aca="false">IFERROR(INDEX('Все компании'!$S$5:$S$53,MATCH(C7,'Все компании'!$B$5:$B$53,0)),"")</f>
        <v>service-eco.uz</v>
      </c>
      <c r="H7" s="4" t="str">
        <f aca="false">IFERROR(INDEX('Все компании'!$W$5:$W$53,MATCH(C7,'Все компании'!$B$5:$B$53,0)),"")</f>
        <v>B</v>
      </c>
      <c r="I7" s="13" t="s">
        <v>416</v>
      </c>
      <c r="J7" s="13"/>
      <c r="K7" s="13"/>
    </row>
    <row r="8" customFormat="false" ht="23.85" hidden="false" customHeight="false" outlineLevel="0" collapsed="false">
      <c r="A8" s="4" t="s">
        <v>26</v>
      </c>
      <c r="B8" s="4" t="n">
        <v>3</v>
      </c>
      <c r="C8" s="5" t="s">
        <v>270</v>
      </c>
      <c r="D8" s="5" t="s">
        <v>447</v>
      </c>
      <c r="E8" s="5" t="str">
        <f aca="false">IFERROR(INDEX('Все компании'!$Q$5:$Q$53,MATCH(C8,'Все компании'!$B$5:$B$53,0)),"")</f>
        <v>+998 99 855 18 55; +998 99 825 82 56</v>
      </c>
      <c r="F8" s="5" t="str">
        <f aca="false">IFERROR(INDEX('Все компании'!$R$5:$R$53,MATCH(C8,'Все компании'!$B$5:$B$53,0)),"")</f>
        <v>—</v>
      </c>
      <c r="G8" s="5" t="str">
        <f aca="false">IFERROR(INDEX('Все компании'!$S$5:$S$53,MATCH(C8,'Все компании'!$B$5:$B$53,0)),"")</f>
        <v>svet.uz</v>
      </c>
      <c r="H8" s="4" t="str">
        <f aca="false">IFERROR(INDEX('Все компании'!$W$5:$W$53,MATCH(C8,'Все компании'!$B$5:$B$53,0)),"")</f>
        <v>B</v>
      </c>
      <c r="I8" s="13" t="s">
        <v>416</v>
      </c>
      <c r="J8" s="13"/>
      <c r="K8" s="13"/>
    </row>
    <row r="9" customFormat="false" ht="15" hidden="false" customHeight="false" outlineLevel="0" collapsed="false">
      <c r="A9" s="4" t="s">
        <v>26</v>
      </c>
      <c r="B9" s="4" t="n">
        <v>4</v>
      </c>
      <c r="C9" s="5" t="s">
        <v>261</v>
      </c>
      <c r="D9" s="5" t="s">
        <v>448</v>
      </c>
      <c r="E9" s="5" t="str">
        <f aca="false">IFERROR(INDEX('Все компании'!$Q$5:$Q$53,MATCH(C9,'Все компании'!$B$5:$B$53,0)),"")</f>
        <v>+998 90 187 14 67</v>
      </c>
      <c r="F9" s="5" t="str">
        <f aca="false">IFERROR(INDEX('Все компании'!$R$5:$R$53,MATCH(C9,'Все компании'!$B$5:$B$53,0)),"")</f>
        <v>admin@proflend.uz</v>
      </c>
      <c r="G9" s="5" t="str">
        <f aca="false">IFERROR(INDEX('Все компании'!$S$5:$S$53,MATCH(C9,'Все компании'!$B$5:$B$53,0)),"")</f>
        <v>proflend.uz</v>
      </c>
      <c r="H9" s="4" t="str">
        <f aca="false">IFERROR(INDEX('Все компании'!$W$5:$W$53,MATCH(C9,'Все компании'!$B$5:$B$53,0)),"")</f>
        <v>A</v>
      </c>
      <c r="I9" s="13" t="s">
        <v>416</v>
      </c>
      <c r="J9" s="13"/>
      <c r="K9" s="13"/>
    </row>
    <row r="10" customFormat="false" ht="15" hidden="false" customHeight="false" outlineLevel="0" collapsed="false">
      <c r="A10" s="12" t="s">
        <v>30</v>
      </c>
      <c r="B10" s="12"/>
      <c r="C10" s="12"/>
      <c r="D10" s="12"/>
      <c r="E10" s="12"/>
      <c r="F10" s="12"/>
      <c r="G10" s="12"/>
      <c r="H10" s="12"/>
      <c r="I10" s="12"/>
      <c r="J10" s="12"/>
      <c r="K10" s="12"/>
    </row>
    <row r="11" customFormat="false" ht="23.85" hidden="false" customHeight="false" outlineLevel="0" collapsed="false">
      <c r="A11" s="4" t="s">
        <v>29</v>
      </c>
      <c r="B11" s="4" t="n">
        <v>1</v>
      </c>
      <c r="C11" s="5" t="s">
        <v>288</v>
      </c>
      <c r="D11" s="5" t="s">
        <v>445</v>
      </c>
      <c r="E11" s="5" t="str">
        <f aca="false">IFERROR(INDEX('Все компании'!$Q$5:$Q$53,MATCH(C11,'Все компании'!$B$5:$B$53,0)),"")</f>
        <v>+998 93 103 70 77 (Telegram/WhatsApp)</v>
      </c>
      <c r="F11" s="5" t="str">
        <f aca="false">IFERROR(INDEX('Все компании'!$R$5:$R$53,MATCH(C11,'Все компании'!$B$5:$B$53,0)),"")</f>
        <v>reshenie.uz@mail.ru (на англ. версии — ssaash@mail.ru)</v>
      </c>
      <c r="G11" s="5" t="str">
        <f aca="false">IFERROR(INDEX('Все компании'!$S$5:$S$53,MATCH(C11,'Все компании'!$B$5:$B$53,0)),"")</f>
        <v>reshenie.uz</v>
      </c>
      <c r="H11" s="4" t="str">
        <f aca="false">IFERROR(INDEX('Все компании'!$W$5:$W$53,MATCH(C11,'Все компании'!$B$5:$B$53,0)),"")</f>
        <v>B</v>
      </c>
      <c r="I11" s="13" t="s">
        <v>416</v>
      </c>
      <c r="J11" s="13"/>
      <c r="K11" s="13"/>
    </row>
    <row r="12" customFormat="false" ht="23.85" hidden="false" customHeight="false" outlineLevel="0" collapsed="false">
      <c r="A12" s="4" t="s">
        <v>29</v>
      </c>
      <c r="B12" s="4" t="n">
        <v>2</v>
      </c>
      <c r="C12" s="5" t="s">
        <v>297</v>
      </c>
      <c r="D12" s="5" t="s">
        <v>298</v>
      </c>
      <c r="E12" s="5" t="str">
        <f aca="false">IFERROR(INDEX('Все компании'!$Q$5:$Q$53,MATCH(C12,'Все компании'!$B$5:$B$53,0)),"")</f>
        <v>+998 78 555 48 94; +998 88 113 87 87</v>
      </c>
      <c r="F12" s="5" t="str">
        <f aca="false">IFERROR(INDEX('Все компании'!$R$5:$R$53,MATCH(C12,'Все компании'!$B$5:$B$53,0)),"")</f>
        <v>—</v>
      </c>
      <c r="G12" s="5" t="str">
        <f aca="false">IFERROR(INDEX('Все компании'!$S$5:$S$53,MATCH(C12,'Все компании'!$B$5:$B$53,0)),"")</f>
        <v>service-eco.uz</v>
      </c>
      <c r="H12" s="4" t="str">
        <f aca="false">IFERROR(INDEX('Все компании'!$W$5:$W$53,MATCH(C12,'Все компании'!$B$5:$B$53,0)),"")</f>
        <v>B</v>
      </c>
      <c r="I12" s="13" t="s">
        <v>416</v>
      </c>
      <c r="J12" s="13"/>
      <c r="K12" s="13"/>
    </row>
    <row r="13" customFormat="false" ht="15" hidden="false" customHeight="false" outlineLevel="0" collapsed="false">
      <c r="A13" s="4" t="s">
        <v>29</v>
      </c>
      <c r="B13" s="4" t="n">
        <v>3</v>
      </c>
      <c r="C13" s="5" t="s">
        <v>305</v>
      </c>
      <c r="D13" s="5" t="s">
        <v>449</v>
      </c>
      <c r="E13" s="5" t="str">
        <f aca="false">IFERROR(INDEX('Все компании'!$Q$5:$Q$53,MATCH(C13,'Все компании'!$B$5:$B$53,0)),"")</f>
        <v>—</v>
      </c>
      <c r="F13" s="5" t="str">
        <f aca="false">IFERROR(INDEX('Все компании'!$R$5:$R$53,MATCH(C13,'Все компании'!$B$5:$B$53,0)),"")</f>
        <v>—</v>
      </c>
      <c r="G13" s="5" t="str">
        <f aca="false">IFERROR(INDEX('Все компании'!$S$5:$S$53,MATCH(C13,'Все компании'!$B$5:$B$53,0)),"")</f>
        <v>eurosant.uz</v>
      </c>
      <c r="H13" s="4" t="str">
        <f aca="false">IFERROR(INDEX('Все компании'!$W$5:$W$53,MATCH(C13,'Все компании'!$B$5:$B$53,0)),"")</f>
        <v>C</v>
      </c>
      <c r="I13" s="13" t="s">
        <v>416</v>
      </c>
      <c r="J13" s="13"/>
      <c r="K13" s="13"/>
    </row>
    <row r="14" customFormat="false" ht="23.85" hidden="false" customHeight="false" outlineLevel="0" collapsed="false">
      <c r="A14" s="4" t="s">
        <v>29</v>
      </c>
      <c r="B14" s="4" t="n">
        <v>4</v>
      </c>
      <c r="C14" s="5" t="s">
        <v>182</v>
      </c>
      <c r="D14" s="5" t="s">
        <v>450</v>
      </c>
      <c r="E14" s="5" t="str">
        <f aca="false">IFERROR(INDEX('Все компании'!$Q$5:$Q$53,MATCH(C14,'Все компании'!$B$5:$B$53,0)),"")</f>
        <v>+998 71 248 79 79; +998 90 926 67 76; +998 97 480 79 80</v>
      </c>
      <c r="F14" s="5" t="str">
        <f aca="false">IFERROR(INDEX('Все компании'!$R$5:$R$53,MATCH(C14,'Все компании'!$B$5:$B$53,0)),"")</f>
        <v>info@smartheating.uz</v>
      </c>
      <c r="G14" s="5" t="str">
        <f aca="false">IFERROR(INDEX('Все компании'!$S$5:$S$53,MATCH(C14,'Все компании'!$B$5:$B$53,0)),"")</f>
        <v>smartheating.uz</v>
      </c>
      <c r="H14" s="4" t="str">
        <f aca="false">IFERROR(INDEX('Все компании'!$W$5:$W$53,MATCH(C14,'Все компании'!$B$5:$B$53,0)),"")</f>
        <v>A</v>
      </c>
      <c r="I14" s="13" t="s">
        <v>416</v>
      </c>
      <c r="J14" s="13"/>
      <c r="K14" s="13"/>
    </row>
    <row r="15" customFormat="false" ht="15" hidden="false" customHeight="false" outlineLevel="0" collapsed="false">
      <c r="A15" s="12" t="s">
        <v>33</v>
      </c>
      <c r="B15" s="12"/>
      <c r="C15" s="12"/>
      <c r="D15" s="12"/>
      <c r="E15" s="12"/>
      <c r="F15" s="12"/>
      <c r="G15" s="12"/>
      <c r="H15" s="12"/>
      <c r="I15" s="12"/>
      <c r="J15" s="12"/>
      <c r="K15" s="12"/>
    </row>
    <row r="16" customFormat="false" ht="15" hidden="false" customHeight="false" outlineLevel="0" collapsed="false">
      <c r="A16" s="4" t="s">
        <v>32</v>
      </c>
      <c r="B16" s="4" t="n">
        <v>1</v>
      </c>
      <c r="C16" s="5" t="s">
        <v>84</v>
      </c>
      <c r="D16" s="5" t="s">
        <v>434</v>
      </c>
      <c r="E16" s="5" t="str">
        <f aca="false">IFERROR(INDEX('Все компании'!$Q$5:$Q$53,MATCH(C16,'Все компании'!$B$5:$B$53,0)),"")</f>
        <v>+998 71 235 20 05</v>
      </c>
      <c r="F16" s="5" t="str">
        <f aca="false">IFERROR(INDEX('Все компании'!$R$5:$R$53,MATCH(C16,'Все компании'!$B$5:$B$53,0)),"")</f>
        <v>info@valtlift.com</v>
      </c>
      <c r="G16" s="5" t="str">
        <f aca="false">IFERROR(INDEX('Все компании'!$S$5:$S$53,MATCH(C16,'Все компании'!$B$5:$B$53,0)),"")</f>
        <v>valtlift.com</v>
      </c>
      <c r="H16" s="4" t="str">
        <f aca="false">IFERROR(INDEX('Все компании'!$W$5:$W$53,MATCH(C16,'Все компании'!$B$5:$B$53,0)),"")</f>
        <v>A</v>
      </c>
      <c r="I16" s="13" t="s">
        <v>416</v>
      </c>
      <c r="J16" s="13"/>
      <c r="K16" s="13"/>
    </row>
    <row r="17" customFormat="false" ht="23.85" hidden="false" customHeight="false" outlineLevel="0" collapsed="false">
      <c r="A17" s="4" t="s">
        <v>32</v>
      </c>
      <c r="B17" s="4" t="n">
        <v>2</v>
      </c>
      <c r="C17" s="5" t="s">
        <v>70</v>
      </c>
      <c r="D17" s="5" t="s">
        <v>451</v>
      </c>
      <c r="E17" s="5" t="str">
        <f aca="false">IFERROR(INDEX('Все компании'!$Q$5:$Q$53,MATCH(C17,'Все компании'!$B$5:$B$53,0)),"")</f>
        <v>+998 71 205 52 25; +998 71 254 86 06</v>
      </c>
      <c r="F17" s="5" t="str">
        <f aca="false">IFERROR(INDEX('Все компании'!$R$5:$R$53,MATCH(C17,'Все компании'!$B$5:$B$53,0)),"")</f>
        <v>info@lift-universal.uz</v>
      </c>
      <c r="G17" s="5" t="str">
        <f aca="false">IFERROR(INDEX('Все компании'!$S$5:$S$53,MATCH(C17,'Все компании'!$B$5:$B$53,0)),"")</f>
        <v>lift-universal.uz</v>
      </c>
      <c r="H17" s="4" t="str">
        <f aca="false">IFERROR(INDEX('Все компании'!$W$5:$W$53,MATCH(C17,'Все компании'!$B$5:$B$53,0)),"")</f>
        <v>A</v>
      </c>
      <c r="I17" s="13" t="s">
        <v>416</v>
      </c>
      <c r="J17" s="13"/>
      <c r="K17" s="13"/>
    </row>
    <row r="18" customFormat="false" ht="23.85" hidden="false" customHeight="false" outlineLevel="0" collapsed="false">
      <c r="A18" s="4" t="s">
        <v>32</v>
      </c>
      <c r="B18" s="4" t="n">
        <v>3</v>
      </c>
      <c r="C18" s="5" t="s">
        <v>102</v>
      </c>
      <c r="D18" s="5" t="s">
        <v>434</v>
      </c>
      <c r="E18" s="5" t="str">
        <f aca="false">IFERROR(INDEX('Все компании'!$Q$5:$Q$53,MATCH(C18,'Все компании'!$B$5:$B$53,0)),"")</f>
        <v>+998 94 660 41 52; +998 95 169 74 63; +998 95 143 74 63</v>
      </c>
      <c r="F18" s="5" t="str">
        <f aca="false">IFERROR(INDEX('Все компании'!$R$5:$R$53,MATCH(C18,'Все компании'!$B$5:$B$53,0)),"")</f>
        <v>masterlift@list.ru</v>
      </c>
      <c r="G18" s="5" t="str">
        <f aca="false">IFERROR(INDEX('Все компании'!$S$5:$S$53,MATCH(C18,'Все компании'!$B$5:$B$53,0)),"")</f>
        <v>—</v>
      </c>
      <c r="H18" s="4" t="str">
        <f aca="false">IFERROR(INDEX('Все компании'!$W$5:$W$53,MATCH(C18,'Все компании'!$B$5:$B$53,0)),"")</f>
        <v>B</v>
      </c>
      <c r="I18" s="13" t="s">
        <v>416</v>
      </c>
      <c r="J18" s="13"/>
      <c r="K18" s="13"/>
    </row>
    <row r="19" customFormat="false" ht="35.05" hidden="false" customHeight="false" outlineLevel="0" collapsed="false">
      <c r="A19" s="4" t="s">
        <v>32</v>
      </c>
      <c r="B19" s="4" t="n">
        <v>4</v>
      </c>
      <c r="C19" s="5" t="s">
        <v>93</v>
      </c>
      <c r="D19" s="5" t="s">
        <v>452</v>
      </c>
      <c r="E19" s="5" t="str">
        <f aca="false">IFERROR(INDEX('Все компании'!$Q$5:$Q$53,MATCH(C19,'Все компании'!$B$5:$B$53,0)),"")</f>
        <v>+998 71 207 40 04</v>
      </c>
      <c r="F19" s="5" t="str">
        <f aca="false">IFERROR(INDEX('Все компании'!$R$5:$R$53,MATCH(C19,'Все компании'!$B$5:$B$53,0)),"")</f>
        <v>info@liftees.uz; tahir.salihov@mail.ru (Expert Elevator Service)</v>
      </c>
      <c r="G19" s="5" t="str">
        <f aca="false">IFERROR(INDEX('Все компании'!$S$5:$S$53,MATCH(C19,'Все компании'!$B$5:$B$53,0)),"")</f>
        <v>liftees.uz</v>
      </c>
      <c r="H19" s="4" t="str">
        <f aca="false">IFERROR(INDEX('Все компании'!$W$5:$W$53,MATCH(C19,'Все компании'!$B$5:$B$53,0)),"")</f>
        <v>A</v>
      </c>
      <c r="I19" s="13" t="s">
        <v>416</v>
      </c>
      <c r="J19" s="13"/>
      <c r="K19" s="13"/>
    </row>
    <row r="20" customFormat="false" ht="23.85" hidden="false" customHeight="false" outlineLevel="0" collapsed="false">
      <c r="A20" s="4" t="s">
        <v>32</v>
      </c>
      <c r="B20" s="4" t="n">
        <v>5</v>
      </c>
      <c r="C20" s="5" t="s">
        <v>117</v>
      </c>
      <c r="D20" s="5" t="s">
        <v>434</v>
      </c>
      <c r="E20" s="5" t="str">
        <f aca="false">IFERROR(INDEX('Все компании'!$Q$5:$Q$53,MATCH(C20,'Все компании'!$B$5:$B$53,0)),"")</f>
        <v>+998 90 043 40 30; +998 90 047 40 30; +998 78 147 40 30</v>
      </c>
      <c r="F20" s="5" t="str">
        <f aca="false">IFERROR(INDEX('Все компании'!$R$5:$R$53,MATCH(C20,'Все компании'!$B$5:$B$53,0)),"")</f>
        <v>—</v>
      </c>
      <c r="G20" s="5" t="str">
        <f aca="false">IFERROR(INDEX('Все компании'!$S$5:$S$53,MATCH(C20,'Все компании'!$B$5:$B$53,0)),"")</f>
        <v>—</v>
      </c>
      <c r="H20" s="4" t="str">
        <f aca="false">IFERROR(INDEX('Все компании'!$W$5:$W$53,MATCH(C20,'Все компании'!$B$5:$B$53,0)),"")</f>
        <v>B</v>
      </c>
      <c r="I20" s="13" t="s">
        <v>416</v>
      </c>
      <c r="J20" s="13"/>
      <c r="K20" s="13"/>
    </row>
    <row r="21" customFormat="false" ht="15" hidden="false" customHeight="false" outlineLevel="0" collapsed="false">
      <c r="A21" s="12" t="s">
        <v>36</v>
      </c>
      <c r="B21" s="12"/>
      <c r="C21" s="12"/>
      <c r="D21" s="12"/>
      <c r="E21" s="12"/>
      <c r="F21" s="12"/>
      <c r="G21" s="12"/>
      <c r="H21" s="12"/>
      <c r="I21" s="12"/>
      <c r="J21" s="12"/>
      <c r="K21" s="12"/>
    </row>
    <row r="22" customFormat="false" ht="23.85" hidden="false" customHeight="false" outlineLevel="0" collapsed="false">
      <c r="A22" s="4" t="s">
        <v>35</v>
      </c>
      <c r="B22" s="4" t="n">
        <v>1</v>
      </c>
      <c r="C22" s="5" t="s">
        <v>319</v>
      </c>
      <c r="D22" s="5" t="s">
        <v>453</v>
      </c>
      <c r="E22" s="5" t="str">
        <f aca="false">IFERROR(INDEX('Все компании'!$Q$5:$Q$53,MATCH(C22,'Все компании'!$B$5:$B$53,0)),"")</f>
        <v>+998 94 431 62 22; +998 33 100 22 00</v>
      </c>
      <c r="F22" s="5" t="str">
        <f aca="false">IFERROR(INDEX('Все компании'!$R$5:$R$53,MATCH(C22,'Все компании'!$B$5:$B$53,0)),"")</f>
        <v>info@newcleaner.uz</v>
      </c>
      <c r="G22" s="5" t="str">
        <f aca="false">IFERROR(INDEX('Все компании'!$S$5:$S$53,MATCH(C22,'Все компании'!$B$5:$B$53,0)),"")</f>
        <v>newcleaner.uz</v>
      </c>
      <c r="H22" s="4" t="str">
        <f aca="false">IFERROR(INDEX('Все компании'!$W$5:$W$53,MATCH(C22,'Все компании'!$B$5:$B$53,0)),"")</f>
        <v>A</v>
      </c>
      <c r="I22" s="13" t="s">
        <v>416</v>
      </c>
      <c r="J22" s="13"/>
      <c r="K22" s="13"/>
    </row>
    <row r="23" customFormat="false" ht="23.85" hidden="false" customHeight="false" outlineLevel="0" collapsed="false">
      <c r="A23" s="4" t="s">
        <v>35</v>
      </c>
      <c r="B23" s="4" t="n">
        <v>2</v>
      </c>
      <c r="C23" s="5" t="s">
        <v>376</v>
      </c>
      <c r="D23" s="5" t="s">
        <v>454</v>
      </c>
      <c r="E23" s="5" t="str">
        <f aca="false">IFERROR(INDEX('Все компании'!$Q$5:$Q$53,MATCH(C23,'Все компании'!$B$5:$B$53,0)),"")</f>
        <v>+998 97 712 88 89; +998 90 915 55 56</v>
      </c>
      <c r="F23" s="5" t="str">
        <f aca="false">IFERROR(INDEX('Все компании'!$R$5:$R$53,MATCH(C23,'Все компании'!$B$5:$B$53,0)),"")</f>
        <v>info@progazon.uz</v>
      </c>
      <c r="G23" s="5" t="str">
        <f aca="false">IFERROR(INDEX('Все компании'!$S$5:$S$53,MATCH(C23,'Все компании'!$B$5:$B$53,0)),"")</f>
        <v>progazon.uz</v>
      </c>
      <c r="H23" s="4" t="str">
        <f aca="false">IFERROR(INDEX('Все компании'!$W$5:$W$53,MATCH(C23,'Все компании'!$B$5:$B$53,0)),"")</f>
        <v>B</v>
      </c>
      <c r="I23" s="13" t="s">
        <v>416</v>
      </c>
      <c r="J23" s="13"/>
      <c r="K23" s="13"/>
    </row>
    <row r="24" customFormat="false" ht="23.85" hidden="false" customHeight="false" outlineLevel="0" collapsed="false">
      <c r="A24" s="4" t="s">
        <v>35</v>
      </c>
      <c r="B24" s="4" t="n">
        <v>3</v>
      </c>
      <c r="C24" s="5" t="s">
        <v>384</v>
      </c>
      <c r="D24" s="5" t="s">
        <v>455</v>
      </c>
      <c r="E24" s="5" t="str">
        <f aca="false">IFERROR(INDEX('Все компании'!$Q$5:$Q$53,MATCH(C24,'Все компании'!$B$5:$B$53,0)),"")</f>
        <v>+998 90 175 47 20</v>
      </c>
      <c r="F24" s="5" t="str">
        <f aca="false">IFERROR(INDEX('Все компании'!$R$5:$R$53,MATCH(C24,'Все компании'!$B$5:$B$53,0)),"")</f>
        <v>—</v>
      </c>
      <c r="G24" s="5" t="str">
        <f aca="false">IFERROR(INDEX('Все компании'!$S$5:$S$53,MATCH(C24,'Все компании'!$B$5:$B$53,0)),"")</f>
        <v>—</v>
      </c>
      <c r="H24" s="4" t="str">
        <f aca="false">IFERROR(INDEX('Все компании'!$W$5:$W$53,MATCH(C24,'Все компании'!$B$5:$B$53,0)),"")</f>
        <v>C</v>
      </c>
      <c r="I24" s="13" t="s">
        <v>416</v>
      </c>
      <c r="J24" s="13"/>
      <c r="K24" s="13"/>
    </row>
    <row r="25" customFormat="false" ht="23.85" hidden="false" customHeight="false" outlineLevel="0" collapsed="false">
      <c r="A25" s="4" t="s">
        <v>35</v>
      </c>
      <c r="B25" s="4" t="n">
        <v>4</v>
      </c>
      <c r="C25" s="5" t="s">
        <v>352</v>
      </c>
      <c r="D25" s="5" t="s">
        <v>456</v>
      </c>
      <c r="E25" s="5" t="str">
        <f aca="false">IFERROR(INDEX('Все компании'!$Q$5:$Q$53,MATCH(C25,'Все компании'!$B$5:$B$53,0)),"")</f>
        <v>90 995 00 44 (номер в каталоге неполный, проверить)</v>
      </c>
      <c r="F25" s="5" t="str">
        <f aca="false">IFERROR(INDEX('Все компании'!$R$5:$R$53,MATCH(C25,'Все компании'!$B$5:$B$53,0)),"")</f>
        <v>cstashkent@mail.ru</v>
      </c>
      <c r="G25" s="5" t="str">
        <f aca="false">IFERROR(INDEX('Все компании'!$S$5:$S$53,MATCH(C25,'Все компании'!$B$5:$B$53,0)),"")</f>
        <v>cleaning.uz</v>
      </c>
      <c r="H25" s="4" t="str">
        <f aca="false">IFERROR(INDEX('Все компании'!$W$5:$W$53,MATCH(C25,'Все компании'!$B$5:$B$53,0)),"")</f>
        <v>B</v>
      </c>
      <c r="I25" s="13" t="s">
        <v>416</v>
      </c>
      <c r="J25" s="13"/>
      <c r="K25" s="13"/>
    </row>
  </sheetData>
  <mergeCells count="4">
    <mergeCell ref="A5:K5"/>
    <mergeCell ref="A10:K10"/>
    <mergeCell ref="A15:K15"/>
    <mergeCell ref="A21:K21"/>
  </mergeCells>
  <dataValidations count="1">
    <dataValidation allowBlank="true" errorStyle="stop" operator="between" showDropDown="false" showErrorMessage="false" showInputMessage="false" sqref="I6:I9 I11:I14 I16:I20 I22:I25" type="list">
      <formula1>"Не связывались,Запрос отправлен,КП получено,Отказ,Нет связи"</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2"/>
    <col collapsed="false" customWidth="true" hidden="false" outlineLevel="0" max="4" min="4" style="0" width="44"/>
    <col collapsed="false" customWidth="true" hidden="false" outlineLevel="0" max="6" min="5" style="0" width="28"/>
    <col collapsed="false" customWidth="true" hidden="false" outlineLevel="0" max="7" min="7" style="0" width="20"/>
    <col collapsed="false" customWidth="true" hidden="false" outlineLevel="0" max="8" min="8" style="0" width="12"/>
    <col collapsed="false" customWidth="true" hidden="false" outlineLevel="0" max="9" min="9" style="0" width="18"/>
    <col collapsed="false" customWidth="true" hidden="false" outlineLevel="0" max="10" min="10" style="0" width="13"/>
    <col collapsed="false" customWidth="true" hidden="false" outlineLevel="0" max="11" min="11" style="0" width="30"/>
  </cols>
  <sheetData>
    <row r="1" customFormat="false" ht="16.15" hidden="false" customHeight="false" outlineLevel="0" collapsed="false">
      <c r="A1" s="10" t="s">
        <v>457</v>
      </c>
    </row>
    <row r="2" customFormat="false" ht="15" hidden="false" customHeight="false" outlineLevel="0" collapsed="false">
      <c r="A2" s="11" t="s">
        <v>409</v>
      </c>
    </row>
    <row r="4" customFormat="false" ht="23.85" hidden="false" customHeight="false" outlineLevel="0" collapsed="false">
      <c r="A4" s="3" t="s">
        <v>2</v>
      </c>
      <c r="B4" s="3" t="s">
        <v>410</v>
      </c>
      <c r="C4" s="3" t="s">
        <v>57</v>
      </c>
      <c r="D4" s="3" t="s">
        <v>411</v>
      </c>
      <c r="E4" s="3" t="s">
        <v>61</v>
      </c>
      <c r="F4" s="3" t="s">
        <v>62</v>
      </c>
      <c r="G4" s="3" t="s">
        <v>63</v>
      </c>
      <c r="H4" s="3" t="s">
        <v>67</v>
      </c>
      <c r="I4" s="3" t="s">
        <v>412</v>
      </c>
      <c r="J4" s="3" t="s">
        <v>413</v>
      </c>
      <c r="K4" s="3" t="s">
        <v>414</v>
      </c>
    </row>
    <row r="5" customFormat="false" ht="15" hidden="false" customHeight="false" outlineLevel="0" collapsed="false">
      <c r="A5" s="12" t="s">
        <v>39</v>
      </c>
      <c r="B5" s="12"/>
      <c r="C5" s="12"/>
      <c r="D5" s="12"/>
      <c r="E5" s="12"/>
      <c r="F5" s="12"/>
      <c r="G5" s="12"/>
      <c r="H5" s="12"/>
      <c r="I5" s="12"/>
      <c r="J5" s="12"/>
      <c r="K5" s="12"/>
    </row>
    <row r="6" customFormat="false" ht="23.85" hidden="false" customHeight="false" outlineLevel="0" collapsed="false">
      <c r="A6" s="4" t="s">
        <v>38</v>
      </c>
      <c r="B6" s="4" t="n">
        <v>1</v>
      </c>
      <c r="C6" s="5" t="s">
        <v>310</v>
      </c>
      <c r="D6" s="5" t="s">
        <v>458</v>
      </c>
      <c r="E6" s="5" t="str">
        <f aca="false">IFERROR(INDEX('Все компании'!$Q$5:$Q$53,MATCH(C6,'Все компании'!$B$5:$B$53,0)),"")</f>
        <v>+998 71 200 03 28; +998 97 402 28 20; +998 97 037 28 20</v>
      </c>
      <c r="F6" s="5" t="str">
        <f aca="false">IFERROR(INDEX('Все компании'!$R$5:$R$53,MATCH(C6,'Все компании'!$B$5:$B$53,0)),"")</f>
        <v>asiaclean@mail.ru</v>
      </c>
      <c r="G6" s="5" t="str">
        <f aca="false">IFERROR(INDEX('Все компании'!$S$5:$S$53,MATCH(C6,'Все компании'!$B$5:$B$53,0)),"")</f>
        <v>profuborka.uz</v>
      </c>
      <c r="H6" s="4" t="str">
        <f aca="false">IFERROR(INDEX('Все компании'!$W$5:$W$53,MATCH(C6,'Все компании'!$B$5:$B$53,0)),"")</f>
        <v>A</v>
      </c>
      <c r="I6" s="13" t="s">
        <v>416</v>
      </c>
      <c r="J6" s="13"/>
      <c r="K6" s="13"/>
    </row>
    <row r="7" customFormat="false" ht="23.85" hidden="false" customHeight="false" outlineLevel="0" collapsed="false">
      <c r="A7" s="4" t="s">
        <v>38</v>
      </c>
      <c r="B7" s="4" t="n">
        <v>2</v>
      </c>
      <c r="C7" s="5" t="s">
        <v>319</v>
      </c>
      <c r="D7" s="5" t="s">
        <v>459</v>
      </c>
      <c r="E7" s="5" t="str">
        <f aca="false">IFERROR(INDEX('Все компании'!$Q$5:$Q$53,MATCH(C7,'Все компании'!$B$5:$B$53,0)),"")</f>
        <v>+998 94 431 62 22; +998 33 100 22 00</v>
      </c>
      <c r="F7" s="5" t="str">
        <f aca="false">IFERROR(INDEX('Все компании'!$R$5:$R$53,MATCH(C7,'Все компании'!$B$5:$B$53,0)),"")</f>
        <v>info@newcleaner.uz</v>
      </c>
      <c r="G7" s="5" t="str">
        <f aca="false">IFERROR(INDEX('Все компании'!$S$5:$S$53,MATCH(C7,'Все компании'!$B$5:$B$53,0)),"")</f>
        <v>newcleaner.uz</v>
      </c>
      <c r="H7" s="4" t="str">
        <f aca="false">IFERROR(INDEX('Все компании'!$W$5:$W$53,MATCH(C7,'Все компании'!$B$5:$B$53,0)),"")</f>
        <v>A</v>
      </c>
      <c r="I7" s="13" t="s">
        <v>416</v>
      </c>
      <c r="J7" s="13"/>
      <c r="K7" s="13"/>
    </row>
    <row r="8" customFormat="false" ht="23.85" hidden="false" customHeight="false" outlineLevel="0" collapsed="false">
      <c r="A8" s="4" t="s">
        <v>38</v>
      </c>
      <c r="B8" s="4" t="n">
        <v>3</v>
      </c>
      <c r="C8" s="5" t="s">
        <v>329</v>
      </c>
      <c r="D8" s="5" t="s">
        <v>460</v>
      </c>
      <c r="E8" s="5" t="str">
        <f aca="false">IFERROR(INDEX('Все компании'!$Q$5:$Q$53,MATCH(C8,'Все компании'!$B$5:$B$53,0)),"")</f>
        <v>+998 94 880 95 45 (заказ); +998 33 979 67 68 (жалобы)</v>
      </c>
      <c r="F8" s="5" t="str">
        <f aca="false">IFERROR(INDEX('Все компании'!$R$5:$R$53,MATCH(C8,'Все компании'!$B$5:$B$53,0)),"")</f>
        <v>info@uborka24.uz</v>
      </c>
      <c r="G8" s="5" t="str">
        <f aca="false">IFERROR(INDEX('Все компании'!$S$5:$S$53,MATCH(C8,'Все компании'!$B$5:$B$53,0)),"")</f>
        <v>uborka24.uz</v>
      </c>
      <c r="H8" s="4" t="str">
        <f aca="false">IFERROR(INDEX('Все компании'!$W$5:$W$53,MATCH(C8,'Все компании'!$B$5:$B$53,0)),"")</f>
        <v>A</v>
      </c>
      <c r="I8" s="13" t="s">
        <v>416</v>
      </c>
      <c r="J8" s="13"/>
      <c r="K8" s="13"/>
    </row>
    <row r="9" customFormat="false" ht="15" hidden="false" customHeight="false" outlineLevel="0" collapsed="false">
      <c r="A9" s="4" t="s">
        <v>38</v>
      </c>
      <c r="B9" s="4" t="n">
        <v>4</v>
      </c>
      <c r="C9" s="5" t="s">
        <v>336</v>
      </c>
      <c r="D9" s="5" t="s">
        <v>461</v>
      </c>
      <c r="E9" s="5" t="str">
        <f aca="false">IFERROR(INDEX('Все компании'!$Q$5:$Q$53,MATCH(C9,'Все компании'!$B$5:$B$53,0)),"")</f>
        <v>+998 99 099 99 83</v>
      </c>
      <c r="F9" s="5" t="str">
        <f aca="false">IFERROR(INDEX('Все компании'!$R$5:$R$53,MATCH(C9,'Все компании'!$B$5:$B$53,0)),"")</f>
        <v>info@skyclean.uz</v>
      </c>
      <c r="G9" s="5" t="str">
        <f aca="false">IFERROR(INDEX('Все компании'!$S$5:$S$53,MATCH(C9,'Все компании'!$B$5:$B$53,0)),"")</f>
        <v>skyclean.uz</v>
      </c>
      <c r="H9" s="4" t="str">
        <f aca="false">IFERROR(INDEX('Все компании'!$W$5:$W$53,MATCH(C9,'Все компании'!$B$5:$B$53,0)),"")</f>
        <v>A</v>
      </c>
      <c r="I9" s="13" t="s">
        <v>416</v>
      </c>
      <c r="J9" s="13"/>
      <c r="K9" s="13"/>
    </row>
    <row r="10" customFormat="false" ht="23.85" hidden="false" customHeight="false" outlineLevel="0" collapsed="false">
      <c r="A10" s="4" t="s">
        <v>38</v>
      </c>
      <c r="B10" s="4" t="n">
        <v>5</v>
      </c>
      <c r="C10" s="5" t="s">
        <v>344</v>
      </c>
      <c r="D10" s="5" t="s">
        <v>462</v>
      </c>
      <c r="E10" s="5" t="str">
        <f aca="false">IFERROR(INDEX('Все компании'!$Q$5:$Q$53,MATCH(C10,'Все компании'!$B$5:$B$53,0)),"")</f>
        <v>+998 71 200 11 18; +998 99 229 14 55</v>
      </c>
      <c r="F10" s="5" t="str">
        <f aca="false">IFERROR(INDEX('Все компании'!$R$5:$R$53,MATCH(C10,'Все компании'!$B$5:$B$53,0)),"")</f>
        <v>info@maxhelp.uz</v>
      </c>
      <c r="G10" s="5" t="str">
        <f aca="false">IFERROR(INDEX('Все компании'!$S$5:$S$53,MATCH(C10,'Все компании'!$B$5:$B$53,0)),"")</f>
        <v>maxhelp.uz</v>
      </c>
      <c r="H10" s="4" t="str">
        <f aca="false">IFERROR(INDEX('Все компании'!$W$5:$W$53,MATCH(C10,'Все компании'!$B$5:$B$53,0)),"")</f>
        <v>B</v>
      </c>
      <c r="I10" s="13" t="s">
        <v>416</v>
      </c>
      <c r="J10" s="13"/>
      <c r="K10" s="13"/>
    </row>
    <row r="11" customFormat="false" ht="23.85" hidden="false" customHeight="false" outlineLevel="0" collapsed="false">
      <c r="A11" s="4" t="s">
        <v>38</v>
      </c>
      <c r="B11" s="4" t="n">
        <v>6</v>
      </c>
      <c r="C11" s="5" t="s">
        <v>352</v>
      </c>
      <c r="D11" s="5" t="s">
        <v>463</v>
      </c>
      <c r="E11" s="5" t="str">
        <f aca="false">IFERROR(INDEX('Все компании'!$Q$5:$Q$53,MATCH(C11,'Все компании'!$B$5:$B$53,0)),"")</f>
        <v>90 995 00 44 (номер в каталоге неполный, проверить)</v>
      </c>
      <c r="F11" s="5" t="str">
        <f aca="false">IFERROR(INDEX('Все компании'!$R$5:$R$53,MATCH(C11,'Все компании'!$B$5:$B$53,0)),"")</f>
        <v>cstashkent@mail.ru</v>
      </c>
      <c r="G11" s="5" t="str">
        <f aca="false">IFERROR(INDEX('Все компании'!$S$5:$S$53,MATCH(C11,'Все компании'!$B$5:$B$53,0)),"")</f>
        <v>cleaning.uz</v>
      </c>
      <c r="H11" s="4" t="str">
        <f aca="false">IFERROR(INDEX('Все компании'!$W$5:$W$53,MATCH(C11,'Все компании'!$B$5:$B$53,0)),"")</f>
        <v>B</v>
      </c>
      <c r="I11" s="13" t="s">
        <v>416</v>
      </c>
      <c r="J11" s="13"/>
      <c r="K11" s="13"/>
    </row>
    <row r="12" customFormat="false" ht="23.85" hidden="false" customHeight="false" outlineLevel="0" collapsed="false">
      <c r="A12" s="4" t="s">
        <v>38</v>
      </c>
      <c r="B12" s="4" t="n">
        <v>7</v>
      </c>
      <c r="C12" s="5" t="s">
        <v>297</v>
      </c>
      <c r="D12" s="5" t="s">
        <v>464</v>
      </c>
      <c r="E12" s="5" t="str">
        <f aca="false">IFERROR(INDEX('Все компании'!$Q$5:$Q$53,MATCH(C12,'Все компании'!$B$5:$B$53,0)),"")</f>
        <v>+998 78 555 48 94; +998 88 113 87 87</v>
      </c>
      <c r="F12" s="5" t="str">
        <f aca="false">IFERROR(INDEX('Все компании'!$R$5:$R$53,MATCH(C12,'Все компании'!$B$5:$B$53,0)),"")</f>
        <v>—</v>
      </c>
      <c r="G12" s="5" t="str">
        <f aca="false">IFERROR(INDEX('Все компании'!$S$5:$S$53,MATCH(C12,'Все компании'!$B$5:$B$53,0)),"")</f>
        <v>service-eco.uz</v>
      </c>
      <c r="H12" s="4" t="str">
        <f aca="false">IFERROR(INDEX('Все компании'!$W$5:$W$53,MATCH(C12,'Все компании'!$B$5:$B$53,0)),"")</f>
        <v>B</v>
      </c>
      <c r="I12" s="13" t="s">
        <v>416</v>
      </c>
      <c r="J12" s="13"/>
      <c r="K12" s="13"/>
    </row>
  </sheetData>
  <mergeCells count="1">
    <mergeCell ref="A5:K5"/>
  </mergeCells>
  <dataValidations count="1">
    <dataValidation allowBlank="true" errorStyle="stop" operator="between" showDropDown="false" showErrorMessage="false" showInputMessage="false" sqref="I6:I12" type="list">
      <formula1>"Не связывались,Запрос отправлен,КП получено,Отказ,Нет связи"</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6.15" hidden="false" customHeight="false" outlineLevel="0" collapsed="false">
      <c r="A1" s="10" t="s">
        <v>465</v>
      </c>
    </row>
    <row r="3" customFormat="false" ht="63.75" hidden="false" customHeight="true" outlineLevel="0" collapsed="false">
      <c r="A3" s="14" t="s">
        <v>466</v>
      </c>
      <c r="B3" s="5" t="s">
        <v>467</v>
      </c>
    </row>
    <row r="4" customFormat="false" ht="63.75" hidden="false" customHeight="true" outlineLevel="0" collapsed="false">
      <c r="A4" s="14" t="s">
        <v>468</v>
      </c>
      <c r="B4" s="5" t="s">
        <v>469</v>
      </c>
    </row>
    <row r="5" customFormat="false" ht="63.75" hidden="false" customHeight="true" outlineLevel="0" collapsed="false">
      <c r="A5" s="14" t="s">
        <v>470</v>
      </c>
      <c r="B5" s="5" t="s">
        <v>471</v>
      </c>
    </row>
    <row r="6" customFormat="false" ht="63.75" hidden="false" customHeight="true" outlineLevel="0" collapsed="false">
      <c r="A6" s="14" t="s">
        <v>472</v>
      </c>
      <c r="B6" s="5" t="s">
        <v>473</v>
      </c>
    </row>
    <row r="7" customFormat="false" ht="63.75" hidden="false" customHeight="true" outlineLevel="0" collapsed="false">
      <c r="A7" s="14" t="s">
        <v>474</v>
      </c>
      <c r="B7" s="5" t="s">
        <v>475</v>
      </c>
    </row>
    <row r="8" customFormat="false" ht="63.75" hidden="false" customHeight="true" outlineLevel="0" collapsed="false">
      <c r="A8" s="14" t="s">
        <v>476</v>
      </c>
      <c r="B8" s="5" t="s">
        <v>477</v>
      </c>
    </row>
    <row r="9" customFormat="false" ht="63.75" hidden="false" customHeight="true" outlineLevel="0" collapsed="false">
      <c r="A9" s="14" t="s">
        <v>478</v>
      </c>
      <c r="B9" s="5" t="s">
        <v>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2026-10-28T07:18:04Z</dcterms:created>
  <dc:creator>openpyxl</dc:creator>
  <dc:description/>
  <dc:language>en-US</dc:language>
  <cp:lastModifiedBy/>
  <dcterms:modified xsi:type="dcterms:W3CDTF">2026-10-28T07:18:04Z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