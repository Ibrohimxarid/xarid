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ртнёры" sheetId="1" state="visible" r:id="rId1"/>
    <sheet name="Сводка" sheetId="2" state="visible" r:id="rId2"/>
    <sheet name="Рейтинг стран" sheetId="3" state="visible" r:id="rId3"/>
    <sheet name="План — первые 10 писем" sheetId="4" state="visible" r:id="rId4"/>
    <sheet name="Легенда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sz val="10"/>
    </font>
    <font>
      <name val="Arial"/>
      <color rgb="000563C1"/>
      <sz val="10"/>
      <u val="single"/>
    </font>
    <font>
      <name val="Arial"/>
      <b val="1"/>
      <sz val="10"/>
    </font>
    <font>
      <name val="Arial"/>
      <b val="1"/>
    </font>
    <font>
      <name val="Arial"/>
      <i val="1"/>
      <sz val="9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1" fillId="2" borderId="0" pivotButton="0" quotePrefix="0" xfId="0"/>
    <xf numFmtId="0" fontId="5" fillId="0" borderId="0" pivotButton="0" quotePrefix="0" xfId="0"/>
    <xf numFmtId="0" fontId="2" fillId="0" borderId="1" pivotButton="0" quotePrefix="0" xfId="0"/>
    <xf numFmtId="0" fontId="2" fillId="0" borderId="0" pivotButton="0" quotePrefix="0" xfId="0"/>
    <xf numFmtId="0" fontId="4" fillId="0" borderId="1" pivotButton="0" quotePrefix="0" xfId="0"/>
    <xf numFmtId="0" fontId="6" fillId="0" borderId="0" pivotButton="0" quotePrefix="0" xfId="0"/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dxfs count="3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2F2F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Partners" displayName="Partners" ref="A1:O80" headerRowCount="1">
  <autoFilter ref="A1:O80"/>
  <tableColumns count="15">
    <tableColumn id="1" name="ID"/>
    <tableColumn id="2" name="Блок"/>
    <tableColumn id="3" name="Организация (EN)"/>
    <tableColumn id="4" name="Название (местн.)"/>
    <tableColumn id="5" name="Страна"/>
    <tableColumn id="6" name="Город"/>
    <tableColumn id="7" name="Тип партнёра"/>
    <tableColumn id="8" name="Приоритет"/>
    <tableColumn id="9" name="Что просить"/>
    <tableColumn id="10" name="Контакт (e-mail)"/>
    <tableColumn id="11" name="Сайт"/>
    <tableColumn id="12" name="Карточка (файл)"/>
    <tableColumn id="13" name="Статус"/>
    <tableColumn id="14" name="Дата отправки"/>
    <tableColumn id="15" name="Комментарий"/>
  </tableColumns>
  <tableStyleInfo name="TableStyleLight9" showRowStripes="1"/>
</table>
</file>

<file path=xl/tables/table2.xml><?xml version="1.0" encoding="utf-8"?>
<table xmlns="http://schemas.openxmlformats.org/spreadsheetml/2006/main" id="2" name="Ranking" displayName="Ranking" ref="A1:F29" headerRowCount="1">
  <autoFilter ref="A1:F29"/>
  <tableColumns count="6">
    <tableColumn id="1" name="Ранг"/>
    <tableColumn id="2" name="Страна"/>
    <tableColumn id="3" name="Баллы (К1–К6)"/>
    <tableColumn id="4" name="Итог"/>
    <tableColumn id="5" name="Выполнены (2) / частично (1)"/>
    <tableColumn id="6" name="Лучшие 3 партнёра"/>
  </tableColumns>
  <tableStyleInfo name="TableStyleLight9" showRowStripes="1"/>
</table>
</file>

<file path=xl/tables/table3.xml><?xml version="1.0" encoding="utf-8"?>
<table xmlns="http://schemas.openxmlformats.org/spreadsheetml/2006/main" id="3" name="Plan" displayName="Plan" ref="A1:F11" headerRowCount="1">
  <autoFilter ref="A1:F11"/>
  <tableColumns count="6">
    <tableColumn id="1" name="#"/>
    <tableColumn id="2" name="Кому"/>
    <tableColumn id="3" name="ID"/>
    <tableColumn id="4" name="Канал"/>
    <tableColumn id="5" name="Что просим"/>
    <tableColumn id="6" name="Почему в первой десятке"/>
  </tableColumns>
  <tableStyleInfo name="TableStyleLight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cast.org.cn" TargetMode="External" Id="rId1" /><Relationship Type="http://schemas.openxmlformats.org/officeDocument/2006/relationships/hyperlink" Target="https://cstm.cdstm.cn" TargetMode="External" Id="rId2" /><Relationship Type="http://schemas.openxmlformats.org/officeDocument/2006/relationships/hyperlink" Target="https://cansm.org.cn" TargetMode="External" Id="rId3" /><Relationship Type="http://schemas.openxmlformats.org/officeDocument/2006/relationships/hyperlink" Target="https://panshiexhibit.com" TargetMode="External" Id="rId4" /><Relationship Type="http://schemas.openxmlformats.org/officeDocument/2006/relationships/hyperlink" Target="https://ubtrobot.com" TargetMode="External" Id="rId5" /><Relationship Type="http://schemas.openxmlformats.org/officeDocument/2006/relationships/hyperlink" Target="https://polymus.ru" TargetMode="External" Id="rId6" /><Relationship Type="http://schemas.openxmlformats.org/officeDocument/2006/relationships/hyperlink" Target="https://festivalnauki.ru" TargetMode="External" Id="rId7" /><Relationship Type="http://schemas.openxmlformats.org/officeDocument/2006/relationships/hyperlink" Target="https://exponi.ru" TargetMode="External" Id="rId8" /><Relationship Type="http://schemas.openxmlformats.org/officeDocument/2006/relationships/hyperlink" Target="https://einsteinarium.ru" TargetMode="External" Id="rId9" /><Relationship Type="http://schemas.openxmlformats.org/officeDocument/2006/relationships/hyperlink" Target="https://t3vakfi.org" TargetMode="External" Id="rId10" /><Relationship Type="http://schemas.openxmlformats.org/officeDocument/2006/relationships/hyperlink" Target="https://tika.gov.tr" TargetMode="External" Id="rId11" /><Relationship Type="http://schemas.openxmlformats.org/officeDocument/2006/relationships/hyperlink" Target="https://ecsite.eu" TargetMode="External" Id="rId12" /><Relationship Type="http://schemas.openxmlformats.org/officeDocument/2006/relationships/hyperlink" Target="https://1001inventions.com" TargetMode="External" Id="rId13" /><Relationship Type="http://schemas.openxmlformats.org/officeDocument/2006/relationships/hyperlink" Target="https://sciencemuseumgroup.org.uk" TargetMode="External" Id="rId14" /><Relationship Type="http://schemas.openxmlformats.org/officeDocument/2006/relationships/hyperlink" Target="https://turin.uz" TargetMode="External" Id="rId15" /><Relationship Type="http://schemas.openxmlformats.org/officeDocument/2006/relationships/hyperlink" Target="https://castscs.org.cn" TargetMode="External" Id="rId16" /><Relationship Type="http://schemas.openxmlformats.org/officeDocument/2006/relationships/hyperlink" Target="https://aspacnet.org" TargetMode="External" Id="rId17" /><Relationship Type="http://schemas.openxmlformats.org/officeDocument/2006/relationships/hyperlink" Target="https://icom.museum" TargetMode="External" Id="rId18" /><Relationship Type="http://schemas.openxmlformats.org/officeDocument/2006/relationships/hyperlink" Target="https://sstm.org.cn" TargetMode="External" Id="rId19" /><Relationship Type="http://schemas.openxmlformats.org/officeDocument/2006/relationships/hyperlink" Target="https://gdsc.cn" TargetMode="External" Id="rId20" /><Relationship Type="http://schemas.openxmlformats.org/officeDocument/2006/relationships/hyperlink" Target="https://dobot-robots.com" TargetMode="External" Id="rId21" /><Relationship Type="http://schemas.openxmlformats.org/officeDocument/2006/relationships/hyperlink" Target="https://makeblock.com" TargetMode="External" Id="rId22" /><Relationship Type="http://schemas.openxmlformats.org/officeDocument/2006/relationships/hyperlink" Target="https://bydauto.uz" TargetMode="External" Id="rId23" /><Relationship Type="http://schemas.openxmlformats.org/officeDocument/2006/relationships/hyperlink" Target="https://crrcgc.cc" TargetMode="External" Id="rId24" /><Relationship Type="http://schemas.openxmlformats.org/officeDocument/2006/relationships/hyperlink" Target="https://huawei.com/uz" TargetMode="External" Id="rId25" /><Relationship Type="http://schemas.openxmlformats.org/officeDocument/2006/relationships/hyperlink" Target="https://ceec.net.cn" TargetMode="External" Id="rId26" /><Relationship Type="http://schemas.openxmlformats.org/officeDocument/2006/relationships/hyperlink" Target="https://tjmc.edu.cn" TargetMode="External" Id="rId27" /><Relationship Type="http://schemas.openxmlformats.org/officeDocument/2006/relationships/hyperlink" Target="https://sfiec.org.cn" TargetMode="External" Id="rId28" /><Relationship Type="http://schemas.openxmlformats.org/officeDocument/2006/relationships/hyperlink" Target="https://amnit.org" TargetMode="External" Id="rId29" /><Relationship Type="http://schemas.openxmlformats.org/officeDocument/2006/relationships/hyperlink" Target="https://kosmo-museum.ru" TargetMode="External" Id="rId30" /><Relationship Type="http://schemas.openxmlformats.org/officeDocument/2006/relationships/hyperlink" Target="https://uzatom.uz" TargetMode="External" Id="rId31" /><Relationship Type="http://schemas.openxmlformats.org/officeDocument/2006/relationships/hyperlink" Target="https://uzb.rs.gov.ru" TargetMode="External" Id="rId32" /><Relationship Type="http://schemas.openxmlformats.org/officeDocument/2006/relationships/hyperlink" Target="https://tmholding.ru" TargetMode="External" Id="rId33" /><Relationship Type="http://schemas.openxmlformats.org/officeDocument/2006/relationships/hyperlink" Target="https://lukoil-international.uz" TargetMode="External" Id="rId34" /><Relationship Type="http://schemas.openxmlformats.org/officeDocument/2006/relationships/hyperlink" Target="https://bilimmerkezleri.tubitak.gov.tr" TargetMode="External" Id="rId35" /><Relationship Type="http://schemas.openxmlformats.org/officeDocument/2006/relationships/hyperlink" Target="https://bursabilimmerkezi.org" TargetMode="External" Id="rId36" /><Relationship Type="http://schemas.openxmlformats.org/officeDocument/2006/relationships/hyperlink" Target="https://anadoluisuzu.com.tr" TargetMode="External" Id="rId37" /><Relationship Type="http://schemas.openxmlformats.org/officeDocument/2006/relationships/hyperlink" Target="https://turkicstates.org" TargetMode="External" Id="rId38" /><Relationship Type="http://schemas.openxmlformats.org/officeDocument/2006/relationships/hyperlink" Target="https://gesteknoloji.com.tr" TargetMode="External" Id="rId39" /><Relationship Type="http://schemas.openxmlformats.org/officeDocument/2006/relationships/hyperlink" Target="https://deik.org.tr" TargetMode="External" Id="rId40" /><Relationship Type="http://schemas.openxmlformats.org/officeDocument/2006/relationships/hyperlink" Target="https://man.eu" TargetMode="External" Id="rId41" /><Relationship Type="http://schemas.openxmlformats.org/officeDocument/2006/relationships/hyperlink" Target="https://deutsches-museum.de" TargetMode="External" Id="rId42" /><Relationship Type="http://schemas.openxmlformats.org/officeDocument/2006/relationships/hyperlink" Target="https://archimedes-exhibitions.de" TargetMode="External" Id="rId43" /><Relationship Type="http://schemas.openxmlformats.org/officeDocument/2006/relationships/hyperlink" Target="https://huettinger.de" TargetMode="External" Id="rId44" /><Relationship Type="http://schemas.openxmlformats.org/officeDocument/2006/relationships/hyperlink" Target="https://giz.de" TargetMode="External" Id="rId45" /><Relationship Type="http://schemas.openxmlformats.org/officeDocument/2006/relationships/hyperlink" Target="https://claas.com" TargetMode="External" Id="rId46" /><Relationship Type="http://schemas.openxmlformats.org/officeDocument/2006/relationships/hyperlink" Target="https://britishcouncil.uz" TargetMode="External" Id="rId47" /><Relationship Type="http://schemas.openxmlformats.org/officeDocument/2006/relationships/hyperlink" Target="https://science-projects.org" TargetMode="External" Id="rId48" /><Relationship Type="http://schemas.openxmlformats.org/officeDocument/2006/relationships/hyperlink" Target="https://railwaymuseum.org.uk" TargetMode="External" Id="rId49" /><Relationship Type="http://schemas.openxmlformats.org/officeDocument/2006/relationships/hyperlink" Target="https://polito.it" TargetMode="External" Id="rId50" /><Relationship Type="http://schemas.openxmlformats.org/officeDocument/2006/relationships/hyperlink" Target="https://leonardo3.net" TargetMode="External" Id="rId51" /><Relationship Type="http://schemas.openxmlformats.org/officeDocument/2006/relationships/hyperlink" Target="https://museoscienza.org" TargetMode="External" Id="rId52" /><Relationship Type="http://schemas.openxmlformats.org/officeDocument/2006/relationships/hyperlink" Target="https://ambtashkent.esteri.it" TargetMode="External" Id="rId53" /><Relationship Type="http://schemas.openxmlformats.org/officeDocument/2006/relationships/hyperlink" Target="https://hk.science.museum" TargetMode="External" Id="rId54" /><Relationship Type="http://schemas.openxmlformats.org/officeDocument/2006/relationships/hyperlink" Target="https://msc.org.mo" TargetMode="External" Id="rId55" /><Relationship Type="http://schemas.openxmlformats.org/officeDocument/2006/relationships/hyperlink" Target="https://shautomuseum.com" TargetMode="External" Id="rId56" /><Relationship Type="http://schemas.openxmlformats.org/officeDocument/2006/relationships/hyperlink" Target="https://buaa.edu.cn" TargetMode="External" Id="rId57" /><Relationship Type="http://schemas.openxmlformats.org/officeDocument/2006/relationships/hyperlink" Target="https://mgpm.macaotourism.gov.mo" TargetMode="External" Id="rId58" /><Relationship Type="http://schemas.openxmlformats.org/officeDocument/2006/relationships/hyperlink" Target="https://tjstm.org" TargetMode="External" Id="rId59" /><Relationship Type="http://schemas.openxmlformats.org/officeDocument/2006/relationships/hyperlink" Target="https://interactiveexhibit.com" TargetMode="External" Id="rId60" /><Relationship Type="http://schemas.openxmlformats.org/officeDocument/2006/relationships/hyperlink" Target="https://rzd-museum.ru" TargetMode="External" Id="rId61" /><Relationship Type="http://schemas.openxmlformats.org/officeDocument/2006/relationships/hyperlink" Target="https://mtmuseum.ru" TargetMode="External" Id="rId62" /><Relationship Type="http://schemas.openxmlformats.org/officeDocument/2006/relationships/hyperlink" Target="https://rmk-museum.org.tr" TargetMode="External" Id="rId63" /><Relationship Type="http://schemas.openxmlformats.org/officeDocument/2006/relationships/hyperlink" Target="https://kbm.org.tr" TargetMode="External" Id="rId64" /><Relationship Type="http://schemas.openxmlformats.org/officeDocument/2006/relationships/hyperlink" Target="https://mpg.de" TargetMode="External" Id="rId65" /><Relationship Type="http://schemas.openxmlformats.org/officeDocument/2006/relationships/hyperlink" Target="https://museumsbund.de" TargetMode="External" Id="rId66" /><Relationship Type="http://schemas.openxmlformats.org/officeDocument/2006/relationships/hyperlink" Target="https://imove-germany.de" TargetMode="External" Id="rId67" /><Relationship Type="http://schemas.openxmlformats.org/officeDocument/2006/relationships/hyperlink" Target="https://westminster.ac.uk" TargetMode="External" Id="rId68" /><Relationship Type="http://schemas.openxmlformats.org/officeDocument/2006/relationships/hyperlink" Target="https://wellcome.org" TargetMode="External" Id="rId69" /><Relationship Type="http://schemas.openxmlformats.org/officeDocument/2006/relationships/hyperlink" Target="https://lsbu.ac.uk" TargetMode="External" Id="rId70" /><Relationship Type="http://schemas.openxmlformats.org/officeDocument/2006/relationships/hyperlink" Target="https://sciencecentres.org.uk" TargetMode="External" Id="rId71" /><Relationship Type="http://schemas.openxmlformats.org/officeDocument/2006/relationships/hyperlink" Target="https://britishmotormuseum.co.uk" TargetMode="External" Id="rId72" /><Relationship Type="http://schemas.openxmlformats.org/officeDocument/2006/relationships/hyperlink" Target="https://ansaldoenergia.com" TargetMode="External" Id="rId73" /><Relationship Type="http://schemas.openxmlformats.org/officeDocument/2006/relationships/hyperlink" Target="https://danieli.com" TargetMode="External" Id="rId74" /><Relationship Type="http://schemas.openxmlformats.org/officeDocument/2006/relationships/hyperlink" Target="https://cnr.it" TargetMode="External" Id="rId75" /><Relationship Type="http://schemas.openxmlformats.org/officeDocument/2006/relationships/hyperlink" Target="https://museoauto.com" TargetMode="External" Id="rId76" /><Relationship Type="http://schemas.openxmlformats.org/officeDocument/2006/relationships/hyperlink" Target="https://fondazionefs.it" TargetMode="External" Id="rId77" /><Relationship Type="http://schemas.openxmlformats.org/officeDocument/2006/relationships/table" Target="/xl/tables/table1.xml" Id="rId78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3" customWidth="1" min="2" max="2"/>
    <col width="40" customWidth="1" min="3" max="3"/>
    <col width="30" customWidth="1" min="4" max="4"/>
    <col width="20" customWidth="1" min="5" max="5"/>
    <col width="16" customWidth="1" min="6" max="6"/>
    <col width="24" customWidth="1" min="7" max="7"/>
    <col width="11" customWidth="1" min="8" max="8"/>
    <col width="45" customWidth="1" min="9" max="9"/>
    <col width="34" customWidth="1" min="10" max="10"/>
    <col width="30" customWidth="1" min="11" max="11"/>
    <col width="16" customWidth="1" min="12" max="12"/>
    <col width="14" customWidth="1" min="13" max="13"/>
    <col width="13" customWidth="1" min="14" max="14"/>
    <col width="30" customWidth="1" min="15" max="15"/>
  </cols>
  <sheetData>
    <row r="1">
      <c r="A1" s="1" t="inlineStr">
        <is>
          <t>ID</t>
        </is>
      </c>
      <c r="B1" s="1" t="inlineStr">
        <is>
          <t>Блок</t>
        </is>
      </c>
      <c r="C1" s="1" t="inlineStr">
        <is>
          <t>Организация (EN)</t>
        </is>
      </c>
      <c r="D1" s="1" t="inlineStr">
        <is>
          <t>Название (местн.)</t>
        </is>
      </c>
      <c r="E1" s="1" t="inlineStr">
        <is>
          <t>Страна</t>
        </is>
      </c>
      <c r="F1" s="1" t="inlineStr">
        <is>
          <t>Город</t>
        </is>
      </c>
      <c r="G1" s="1" t="inlineStr">
        <is>
          <t>Тип партнёра</t>
        </is>
      </c>
      <c r="H1" s="1" t="inlineStr">
        <is>
          <t>Приоритет</t>
        </is>
      </c>
      <c r="I1" s="1" t="inlineStr">
        <is>
          <t>Что просить</t>
        </is>
      </c>
      <c r="J1" s="1" t="inlineStr">
        <is>
          <t>Контакт (e-mail)</t>
        </is>
      </c>
      <c r="K1" s="1" t="inlineStr">
        <is>
          <t>Сайт</t>
        </is>
      </c>
      <c r="L1" s="1" t="inlineStr">
        <is>
          <t>Карточка (файл)</t>
        </is>
      </c>
      <c r="M1" s="1" t="inlineStr">
        <is>
          <t>Статус</t>
        </is>
      </c>
      <c r="N1" s="1" t="inlineStr">
        <is>
          <t>Дата отправки</t>
        </is>
      </c>
      <c r="O1" s="1" t="inlineStr">
        <is>
          <t>Комментарий</t>
        </is>
      </c>
    </row>
    <row r="2">
      <c r="A2" s="2" t="inlineStr">
        <is>
          <t>CN-01</t>
        </is>
      </c>
      <c r="B2" s="2" t="inlineStr">
        <is>
          <t>Китай</t>
        </is>
      </c>
      <c r="C2" s="2" t="inlineStr">
        <is>
          <t>China Association for Science and Technology (CAST) - Dept of International Cooperation</t>
        </is>
      </c>
      <c r="D2" s="2" t="inlineStr">
        <is>
          <t>中国科学技术协会 国际合作部</t>
        </is>
      </c>
      <c r="E2" s="2" t="inlineStr">
        <is>
          <t>China</t>
        </is>
      </c>
      <c r="F2" s="2" t="inlineStr">
        <is>
          <t>Beijing</t>
        </is>
      </c>
      <c r="G2" s="2" t="inlineStr">
        <is>
          <t>Госорг./популяризация</t>
        </is>
      </c>
      <c r="H2" s="2" t="inlineStr">
        <is>
          <t>HIGH</t>
        </is>
      </c>
      <c r="I2" s="2" t="inlineStr">
        <is>
          <t>Включить Узбекистан/TPM в международный тур China Mobile S&amp;T Museum; стажировка 2 сотрудников</t>
        </is>
      </c>
      <c r="J2" s="2" t="inlineStr">
        <is>
          <t>fengkai@cast.org.cn</t>
        </is>
      </c>
      <c r="K2" s="3" t="inlineStr">
        <is>
          <t>https://cast.org.cn</t>
        </is>
      </c>
      <c r="L2" s="2" t="inlineStr">
        <is>
          <t>01-china.md</t>
        </is>
      </c>
      <c r="M2" s="4" t="inlineStr"/>
      <c r="N2" s="4" t="inlineStr"/>
      <c r="O2" s="4" t="inlineStr"/>
    </row>
    <row r="3">
      <c r="A3" s="2" t="inlineStr">
        <is>
          <t>CN-02</t>
        </is>
      </c>
      <c r="B3" s="2" t="inlineStr">
        <is>
          <t>Китай</t>
        </is>
      </c>
      <c r="C3" s="2" t="inlineStr">
        <is>
          <t>China Science and Technology Museum (CSTM) - China Mobile S&amp;T Museum</t>
        </is>
      </c>
      <c r="D3" s="2" t="inlineStr">
        <is>
          <t>中国科学技术馆 / 中国流动科技馆</t>
        </is>
      </c>
      <c r="E3" s="2" t="inlineStr">
        <is>
          <t>China</t>
        </is>
      </c>
      <c r="F3" s="2" t="inlineStr">
        <is>
          <t>Beijing</t>
        </is>
      </c>
      <c r="G3" s="2" t="inlineStr">
        <is>
          <t>Передвижные выставки</t>
        </is>
      </c>
      <c r="H3" s="2" t="inlineStr">
        <is>
          <t>HIGH</t>
        </is>
      </c>
      <c r="I3" s="2" t="inlineStr">
        <is>
          <t>Тур в TPM на 3 года (60 экспонатов + купол); технический паспорт</t>
        </is>
      </c>
      <c r="J3" s="2" t="inlineStr">
        <is>
          <t>не опубликован — см. карточку</t>
        </is>
      </c>
      <c r="K3" s="3" t="inlineStr">
        <is>
          <t>https://cstm.cdstm.cn</t>
        </is>
      </c>
      <c r="L3" s="2" t="inlineStr">
        <is>
          <t>01-china.md</t>
        </is>
      </c>
      <c r="M3" s="4" t="inlineStr"/>
      <c r="N3" s="4" t="inlineStr"/>
      <c r="O3" s="4" t="inlineStr"/>
    </row>
    <row r="4">
      <c r="A4" s="2" t="inlineStr">
        <is>
          <t>CN-03</t>
        </is>
      </c>
      <c r="B4" s="2" t="inlineStr">
        <is>
          <t>Китай</t>
        </is>
      </c>
      <c r="C4" s="2" t="inlineStr">
        <is>
          <t>China Association of Natural Science Museums (CANSM) / BRISMIS</t>
        </is>
      </c>
      <c r="D4" s="2" t="inlineStr">
        <is>
          <t>中国自然科学博物馆学会</t>
        </is>
      </c>
      <c r="E4" s="2" t="inlineStr">
        <is>
          <t>China</t>
        </is>
      </c>
      <c r="F4" s="2" t="inlineStr">
        <is>
          <t>Beijing</t>
        </is>
      </c>
      <c r="G4" s="2" t="inlineStr">
        <is>
          <t>Сеть/ассоциация</t>
        </is>
      </c>
      <c r="H4" s="2" t="inlineStr">
        <is>
          <t>HIGH</t>
        </is>
      </c>
      <c r="I4" s="2" t="inlineStr">
        <is>
          <t>Приглашение на BRISMIS; партнёрство/членство</t>
        </is>
      </c>
      <c r="J4" s="2" t="inlineStr">
        <is>
          <t>не опубликован — см. карточку</t>
        </is>
      </c>
      <c r="K4" s="3" t="inlineStr">
        <is>
          <t>https://cansm.org.cn</t>
        </is>
      </c>
      <c r="L4" s="2" t="inlineStr">
        <is>
          <t>01-china.md</t>
        </is>
      </c>
      <c r="M4" s="4" t="inlineStr"/>
      <c r="N4" s="4" t="inlineStr"/>
      <c r="O4" s="4" t="inlineStr"/>
    </row>
    <row r="5">
      <c r="A5" s="2" t="inlineStr">
        <is>
          <t>CN-17</t>
        </is>
      </c>
      <c r="B5" s="2" t="inlineStr">
        <is>
          <t>Китай</t>
        </is>
      </c>
      <c r="C5" s="2" t="inlineStr">
        <is>
          <t>Hefei Panshi Intelligent Technology</t>
        </is>
      </c>
      <c r="D5" s="2" t="inlineStr">
        <is>
          <t>合肥磐石智能科技</t>
        </is>
      </c>
      <c r="E5" s="2" t="inlineStr">
        <is>
          <t>China</t>
        </is>
      </c>
      <c r="F5" s="2" t="inlineStr">
        <is>
          <t>Hefei</t>
        </is>
      </c>
      <c r="G5" s="2" t="inlineStr">
        <is>
          <t>Производитель (покупка)</t>
        </is>
      </c>
      <c r="H5" s="2" t="inlineStr">
        <is>
          <t>HIGH</t>
        </is>
      </c>
      <c r="I5" s="2" t="inlineStr">
        <is>
          <t>Прайс на 10 физических станций + модуль транспорт/энергия</t>
        </is>
      </c>
      <c r="J5" s="2" t="inlineStr">
        <is>
          <t>panshizhineng@outlook.com</t>
        </is>
      </c>
      <c r="K5" s="3" t="inlineStr">
        <is>
          <t>https://panshiexhibit.com</t>
        </is>
      </c>
      <c r="L5" s="2" t="inlineStr">
        <is>
          <t>01-china.md</t>
        </is>
      </c>
      <c r="M5" s="4" t="inlineStr"/>
      <c r="N5" s="4" t="inlineStr"/>
      <c r="O5" s="4" t="inlineStr"/>
    </row>
    <row r="6">
      <c r="A6" s="2" t="inlineStr">
        <is>
          <t>CN-19</t>
        </is>
      </c>
      <c r="B6" s="2" t="inlineStr">
        <is>
          <t>Китай</t>
        </is>
      </c>
      <c r="C6" s="2" t="inlineStr">
        <is>
          <t>UBTECH Robotics</t>
        </is>
      </c>
      <c r="D6" s="2" t="inlineStr">
        <is>
          <t>优必选科技</t>
        </is>
      </c>
      <c r="E6" s="2" t="inlineStr">
        <is>
          <t>China</t>
        </is>
      </c>
      <c r="F6" s="2" t="inlineStr">
        <is>
          <t>Shenzhen</t>
        </is>
      </c>
      <c r="G6" s="2" t="inlineStr">
        <is>
          <t>Производитель (покупка), Спонсор/донор</t>
        </is>
      </c>
      <c r="H6" s="2" t="inlineStr">
        <is>
          <t>HIGH</t>
        </is>
      </c>
      <c r="I6" s="2" t="inlineStr">
        <is>
          <t>Робот-зона: наборы + демо-гуманоид; спонсорские условия</t>
        </is>
      </c>
      <c r="J6" s="2" t="inlineStr">
        <is>
          <t>UBTECH.EDU@ubtrobot.com</t>
        </is>
      </c>
      <c r="K6" s="3" t="inlineStr">
        <is>
          <t>https://ubtrobot.com</t>
        </is>
      </c>
      <c r="L6" s="2" t="inlineStr">
        <is>
          <t>01-china.md</t>
        </is>
      </c>
      <c r="M6" s="4" t="inlineStr"/>
      <c r="N6" s="4" t="inlineStr"/>
      <c r="O6" s="4" t="inlineStr"/>
    </row>
    <row r="7">
      <c r="A7" s="2" t="inlineStr">
        <is>
          <t>RU-01</t>
        </is>
      </c>
      <c r="B7" s="2" t="inlineStr">
        <is>
          <t>Россия</t>
        </is>
      </c>
      <c r="C7" s="2" t="inlineStr">
        <is>
          <t>Polytechnic Museum (Moscow)</t>
        </is>
      </c>
      <c r="D7" s="2" t="inlineStr">
        <is>
          <t>Политехнический музей</t>
        </is>
      </c>
      <c r="E7" s="2" t="inlineStr">
        <is>
          <t>Russia</t>
        </is>
      </c>
      <c r="F7" s="2" t="inlineStr">
        <is>
          <t>Moscow</t>
        </is>
      </c>
      <c r="G7" s="2" t="inlineStr">
        <is>
          <t>Отраслевой музей, Передвижные выставки, Сеть/ассоциация</t>
        </is>
      </c>
      <c r="H7" s="2" t="inlineStr">
        <is>
          <t>HIGH</t>
        </is>
      </c>
      <c r="I7" s="2" t="inlineStr">
        <is>
          <t>Реализация соглашения 2024: перекрёстная выставка, стажировки, реставрация</t>
        </is>
      </c>
      <c r="J7" s="2" t="inlineStr">
        <is>
          <t>info@polytech.one</t>
        </is>
      </c>
      <c r="K7" s="3" t="inlineStr">
        <is>
          <t>https://polymus.ru</t>
        </is>
      </c>
      <c r="L7" s="2" t="inlineStr">
        <is>
          <t>03-russia.md</t>
        </is>
      </c>
      <c r="M7" s="4" t="inlineStr"/>
      <c r="N7" s="4" t="inlineStr"/>
      <c r="O7" s="4" t="inlineStr"/>
    </row>
    <row r="8">
      <c r="A8" s="2" t="inlineStr">
        <is>
          <t>RU-02</t>
        </is>
      </c>
      <c r="B8" s="2" t="inlineStr">
        <is>
          <t>Россия</t>
        </is>
      </c>
      <c r="C8" s="2" t="inlineStr">
        <is>
          <t>NAUKA 0+ International Science Festival (Festival Directorate; MSU; Ministry of Science RF)</t>
        </is>
      </c>
      <c r="D8" s="2" t="inlineStr">
        <is>
          <t>Фестиваль NAUKA 0+</t>
        </is>
      </c>
      <c r="E8" s="2" t="inlineStr">
        <is>
          <t>Russia</t>
        </is>
      </c>
      <c r="F8" s="2" t="inlineStr">
        <is>
          <t>Moscow/Tashkent</t>
        </is>
      </c>
      <c r="G8" s="2" t="inlineStr">
        <is>
          <t>Госорг./популяризация</t>
        </is>
      </c>
      <c r="H8" s="2" t="inlineStr">
        <is>
          <t>HIGH</t>
        </is>
      </c>
      <c r="I8" s="2" t="inlineStr">
        <is>
          <t>TPM — постоянный соорганизатор; выставочный блок; форум организаторов</t>
        </is>
      </c>
      <c r="J8" s="2" t="inlineStr">
        <is>
          <t>e.fayzullina@festivalnauki.ru</t>
        </is>
      </c>
      <c r="K8" s="3" t="inlineStr">
        <is>
          <t>https://festivalnauki.ru</t>
        </is>
      </c>
      <c r="L8" s="2" t="inlineStr">
        <is>
          <t>03-russia.md</t>
        </is>
      </c>
      <c r="M8" s="4" t="inlineStr"/>
      <c r="N8" s="4" t="inlineStr"/>
      <c r="O8" s="4" t="inlineStr"/>
    </row>
    <row r="9">
      <c r="A9" s="2" t="inlineStr">
        <is>
          <t>RU-04</t>
        </is>
      </c>
      <c r="B9" s="2" t="inlineStr">
        <is>
          <t>Россия</t>
        </is>
      </c>
      <c r="C9" s="2" t="inlineStr">
        <is>
          <t>EXPONI Group</t>
        </is>
      </c>
      <c r="D9" s="2" t="inlineStr">
        <is>
          <t>ГК ЭКСПОНИ</t>
        </is>
      </c>
      <c r="E9" s="2" t="inlineStr">
        <is>
          <t>Russia</t>
        </is>
      </c>
      <c r="F9" s="2" t="inlineStr">
        <is>
          <t>Moscow (Zelenograd)</t>
        </is>
      </c>
      <c r="G9" s="2" t="inlineStr">
        <is>
          <t>Производитель (покупка)</t>
        </is>
      </c>
      <c r="H9" s="2" t="inlineStr">
        <is>
          <t>HIGH</t>
        </is>
      </c>
      <c r="I9" s="2" t="inlineStr">
        <is>
          <t>КП на 10 станций + модуль «Автомобиль изнутри»</t>
        </is>
      </c>
      <c r="J9" s="2" t="inlineStr">
        <is>
          <t>info@exponi.ru</t>
        </is>
      </c>
      <c r="K9" s="3" t="inlineStr">
        <is>
          <t>https://exponi.ru</t>
        </is>
      </c>
      <c r="L9" s="2" t="inlineStr">
        <is>
          <t>03-russia.md</t>
        </is>
      </c>
      <c r="M9" s="4" t="inlineStr"/>
      <c r="N9" s="4" t="inlineStr"/>
      <c r="O9" s="4" t="inlineStr"/>
    </row>
    <row r="10">
      <c r="A10" s="2" t="inlineStr">
        <is>
          <t>RU-05</t>
        </is>
      </c>
      <c r="B10" s="2" t="inlineStr">
        <is>
          <t>Россия</t>
        </is>
      </c>
      <c r="C10" s="2" t="inlineStr">
        <is>
          <t>Einsteinarium</t>
        </is>
      </c>
      <c r="D10" s="2" t="inlineStr">
        <is>
          <t>Эйнштейнариум</t>
        </is>
      </c>
      <c r="E10" s="2" t="inlineStr">
        <is>
          <t>Russia</t>
        </is>
      </c>
      <c r="F10" s="2" t="inlineStr">
        <is>
          <t>—</t>
        </is>
      </c>
      <c r="G10" s="2" t="inlineStr">
        <is>
          <t>Производитель (покупка)</t>
        </is>
      </c>
      <c r="H10" s="2" t="inlineStr">
        <is>
          <t>HIGH</t>
        </is>
      </c>
      <c r="I10" s="2" t="inlineStr">
        <is>
          <t>КП на мобильную школьную выставку 20–30 экспонатов</t>
        </is>
      </c>
      <c r="J10" s="2" t="inlineStr">
        <is>
          <t>Einsteinarium36@gmail.com</t>
        </is>
      </c>
      <c r="K10" s="3" t="inlineStr">
        <is>
          <t>https://einsteinarium.ru</t>
        </is>
      </c>
      <c r="L10" s="2" t="inlineStr">
        <is>
          <t>03-russia.md</t>
        </is>
      </c>
      <c r="M10" s="4" t="inlineStr"/>
      <c r="N10" s="4" t="inlineStr"/>
      <c r="O10" s="4" t="inlineStr"/>
    </row>
    <row r="11">
      <c r="A11" s="2" t="inlineStr">
        <is>
          <t>TR-01</t>
        </is>
      </c>
      <c r="B11" s="2" t="inlineStr">
        <is>
          <t>Турция</t>
        </is>
      </c>
      <c r="C11" s="2" t="inlineStr">
        <is>
          <t>Turkish Technology Team Foundation (T3) - Bilim Türkiye / DENEYAP / TEKNOFEST</t>
        </is>
      </c>
      <c r="D11" s="2" t="inlineStr">
        <is>
          <t>Türkiye Teknoloji Takımı Vakfı</t>
        </is>
      </c>
      <c r="E11" s="2" t="inlineStr">
        <is>
          <t>Turkey</t>
        </is>
      </c>
      <c r="F11" s="2" t="inlineStr">
        <is>
          <t>Istanbul</t>
        </is>
      </c>
      <c r="G11" s="2" t="inlineStr">
        <is>
          <t>Госорг./популяризация, Передвижные выставки</t>
        </is>
      </c>
      <c r="H11" s="2" t="inlineStr">
        <is>
          <t>HIGH</t>
        </is>
      </c>
      <c r="I11" s="2" t="inlineStr">
        <is>
          <t>Партнёрство с Bilim Taşkent; мастерские DENEYAP в TPM; TEKNOFEST</t>
        </is>
      </c>
      <c r="J11" s="2" t="inlineStr">
        <is>
          <t>bilimturkiye@turkiyeteknolojitakimi.org</t>
        </is>
      </c>
      <c r="K11" s="3" t="inlineStr">
        <is>
          <t>https://t3vakfi.org</t>
        </is>
      </c>
      <c r="L11" s="2" t="inlineStr">
        <is>
          <t>03-turkey.md</t>
        </is>
      </c>
      <c r="M11" s="4" t="inlineStr"/>
      <c r="N11" s="4" t="inlineStr"/>
      <c r="O11" s="4" t="inlineStr"/>
    </row>
    <row r="12">
      <c r="A12" s="2" t="inlineStr">
        <is>
          <t>TR-03</t>
        </is>
      </c>
      <c r="B12" s="2" t="inlineStr">
        <is>
          <t>Турция</t>
        </is>
      </c>
      <c r="C12" s="2" t="inlineStr">
        <is>
          <t>TİKA - Tashkent Program Coordination Office</t>
        </is>
      </c>
      <c r="D12" s="2" t="inlineStr">
        <is>
          <t>TİKA Taşkent Program Koordinasyon Ofisi</t>
        </is>
      </c>
      <c r="E12" s="2" t="inlineStr">
        <is>
          <t>Uzbekistan (Turkish agency)</t>
        </is>
      </c>
      <c r="F12" s="2" t="inlineStr">
        <is>
          <t>Tashkent</t>
        </is>
      </c>
      <c r="G12" s="2" t="inlineStr">
        <is>
          <t>Госорг./популяризация, Спонсор/донор</t>
        </is>
      </c>
      <c r="H12" s="2" t="inlineStr">
        <is>
          <t>HIGH</t>
        </is>
      </c>
      <c r="I12" s="2" t="inlineStr">
        <is>
          <t>Грант на мейкер-мастерскую/интерактивный модуль</t>
        </is>
      </c>
      <c r="J12" s="2" t="inlineStr">
        <is>
          <t>taskent@tika.gov.tr</t>
        </is>
      </c>
      <c r="K12" s="3" t="inlineStr">
        <is>
          <t>https://tika.gov.tr</t>
        </is>
      </c>
      <c r="L12" s="2" t="inlineStr">
        <is>
          <t>03-turkey.md</t>
        </is>
      </c>
      <c r="M12" s="4" t="inlineStr"/>
      <c r="N12" s="4" t="inlineStr"/>
      <c r="O12" s="4" t="inlineStr"/>
    </row>
    <row r="13">
      <c r="A13" s="2" t="inlineStr">
        <is>
          <t>DE-07</t>
        </is>
      </c>
      <c r="B13" s="2" t="inlineStr">
        <is>
          <t>Германия</t>
        </is>
      </c>
      <c r="C13" s="2" t="inlineStr">
        <is>
          <t>Ecsite — European Network of Science Centres and Museums</t>
        </is>
      </c>
      <c r="D13" s="2" t="inlineStr">
        <is>
          <t>Ecsite</t>
        </is>
      </c>
      <c r="E13" s="2" t="inlineStr">
        <is>
          <t>Belgium (EU network)</t>
        </is>
      </c>
      <c r="F13" s="2" t="inlineStr">
        <is>
          <t>Brussels</t>
        </is>
      </c>
      <c r="G13" s="2" t="inlineStr">
        <is>
          <t>Сеть/ассоциация</t>
        </is>
      </c>
      <c r="H13" s="2" t="inlineStr">
        <is>
          <t>HIGH</t>
        </is>
      </c>
      <c r="I13" s="2" t="inlineStr">
        <is>
          <t>Associate-членство TPM</t>
        </is>
      </c>
      <c r="J13" s="2" t="inlineStr">
        <is>
          <t>members@ecsite.eu</t>
        </is>
      </c>
      <c r="K13" s="3" t="inlineStr">
        <is>
          <t>https://ecsite.eu</t>
        </is>
      </c>
      <c r="L13" s="2" t="inlineStr">
        <is>
          <t>03-germany.md</t>
        </is>
      </c>
      <c r="M13" s="4" t="inlineStr"/>
      <c r="N13" s="4" t="inlineStr"/>
      <c r="O13" s="4" t="inlineStr"/>
    </row>
    <row r="14">
      <c r="A14" s="2" t="inlineStr">
        <is>
          <t>UK-01</t>
        </is>
      </c>
      <c r="B14" s="2" t="inlineStr">
        <is>
          <t>Великобритания</t>
        </is>
      </c>
      <c r="C14" s="2" t="inlineStr">
        <is>
          <t>1001 Inventions (1001 Foundation)</t>
        </is>
      </c>
      <c r="D14" s="2" t="inlineStr">
        <is>
          <t>1001 Inventions</t>
        </is>
      </c>
      <c r="E14" s="2" t="inlineStr">
        <is>
          <t>United Kingdom</t>
        </is>
      </c>
      <c r="F14" s="2" t="inlineStr">
        <is>
          <t>London</t>
        </is>
      </c>
      <c r="G14" s="2" t="inlineStr">
        <is>
          <t>Передвижные выставки, Производитель (покупка)</t>
        </is>
      </c>
      <c r="H14" s="2" t="inlineStr">
        <is>
          <t>HIGH</t>
        </is>
      </c>
      <c r="I14" s="2" t="inlineStr">
        <is>
          <t>Совместный маршрут/программа; аренда выставок</t>
        </is>
      </c>
      <c r="J14" s="2" t="inlineStr">
        <is>
          <t>info@1001inventions.com</t>
        </is>
      </c>
      <c r="K14" s="3" t="inlineStr">
        <is>
          <t>https://1001inventions.com</t>
        </is>
      </c>
      <c r="L14" s="2" t="inlineStr">
        <is>
          <t>03-uk.md</t>
        </is>
      </c>
      <c r="M14" s="4" t="inlineStr"/>
      <c r="N14" s="4" t="inlineStr"/>
      <c r="O14" s="4" t="inlineStr"/>
    </row>
    <row r="15">
      <c r="A15" s="2" t="inlineStr">
        <is>
          <t>UK-02</t>
        </is>
      </c>
      <c r="B15" s="2" t="inlineStr">
        <is>
          <t>Великобритания</t>
        </is>
      </c>
      <c r="C15" s="2" t="inlineStr">
        <is>
          <t>Science Museum Group — Touring Exhibitions</t>
        </is>
      </c>
      <c r="D15" s="2" t="inlineStr">
        <is>
          <t>Science Museum Group</t>
        </is>
      </c>
      <c r="E15" s="2" t="inlineStr">
        <is>
          <t>United Kingdom</t>
        </is>
      </c>
      <c r="F15" s="2" t="inlineStr">
        <is>
          <t>London</t>
        </is>
      </c>
      <c r="G15" s="2" t="inlineStr">
        <is>
          <t>Передвижные выставки, Госорг./популяризация</t>
        </is>
      </c>
      <c r="H15" s="2" t="inlineStr">
        <is>
          <t>HIGH</t>
        </is>
      </c>
      <c r="I15" s="2" t="inlineStr">
        <is>
          <t>Blueprint-пакет выставки; обучение</t>
        </is>
      </c>
      <c r="J15" s="2" t="inlineStr">
        <is>
          <t>touring.exhibitions@sciencemuseum.ac.uk</t>
        </is>
      </c>
      <c r="K15" s="3" t="inlineStr">
        <is>
          <t>https://sciencemuseumgroup.org.uk</t>
        </is>
      </c>
      <c r="L15" s="2" t="inlineStr">
        <is>
          <t>03-uk.md</t>
        </is>
      </c>
      <c r="M15" s="4" t="inlineStr"/>
      <c r="N15" s="4" t="inlineStr"/>
      <c r="O15" s="4" t="inlineStr"/>
    </row>
    <row r="16">
      <c r="A16" s="2" t="inlineStr">
        <is>
          <t>IT-01</t>
        </is>
      </c>
      <c r="B16" s="2" t="inlineStr">
        <is>
          <t>Италия</t>
        </is>
      </c>
      <c r="C16" s="2" t="inlineStr">
        <is>
          <t>Turin Polytechnic University in Tashkent (TTPU)</t>
        </is>
      </c>
      <c r="D16" s="2" t="inlineStr">
        <is>
          <t>Toshkent shahridagi Turin politexnika universiteti</t>
        </is>
      </c>
      <c r="E16" s="2" t="inlineStr">
        <is>
          <t>Uzbekistan (Italian partner)</t>
        </is>
      </c>
      <c r="F16" s="2" t="inlineStr">
        <is>
          <t>Tashkent</t>
        </is>
      </c>
      <c r="G16" s="2" t="inlineStr">
        <is>
          <t>Госорг./популяризация</t>
        </is>
      </c>
      <c r="H16" s="2" t="inlineStr">
        <is>
          <t>HIGH</t>
        </is>
      </c>
      <c r="I16" s="2" t="inlineStr">
        <is>
          <t>Мастер-классы; выставка студенческих проектов</t>
        </is>
      </c>
      <c r="J16" s="2" t="inlineStr">
        <is>
          <t>info@turin.uz</t>
        </is>
      </c>
      <c r="K16" s="3" t="inlineStr">
        <is>
          <t>https://turin.uz</t>
        </is>
      </c>
      <c r="L16" s="2" t="inlineStr">
        <is>
          <t>03-italy.md</t>
        </is>
      </c>
      <c r="M16" s="4" t="inlineStr"/>
      <c r="N16" s="4" t="inlineStr"/>
      <c r="O16" s="4" t="inlineStr"/>
    </row>
    <row r="17">
      <c r="A17" s="2" t="inlineStr">
        <is>
          <t>CN-04</t>
        </is>
      </c>
      <c r="B17" s="2" t="inlineStr">
        <is>
          <t>Китай</t>
        </is>
      </c>
      <c r="C17" s="2" t="inlineStr">
        <is>
          <t>CAST Youth Science and Technology Center - Belt and Road Youth Maker Camp</t>
        </is>
      </c>
      <c r="D17" s="2" t="inlineStr">
        <is>
          <t>中国科协青少年科技中心</t>
        </is>
      </c>
      <c r="E17" s="2" t="inlineStr">
        <is>
          <t>China</t>
        </is>
      </c>
      <c r="F17" s="2" t="inlineStr">
        <is>
          <t>Beijing</t>
        </is>
      </c>
      <c r="G17" s="2" t="inlineStr">
        <is>
          <t>Госорг./популяризация</t>
        </is>
      </c>
      <c r="H17" s="2" t="inlineStr">
        <is>
          <t>MEDIUM</t>
        </is>
      </c>
      <c r="I17" s="2" t="inlineStr">
        <is>
          <t>Квота команды TPM в Belt and Road Youth Maker Camp</t>
        </is>
      </c>
      <c r="J17" s="2" t="inlineStr">
        <is>
          <t>yangming@xiaoxiaotong.org</t>
        </is>
      </c>
      <c r="K17" s="3" t="inlineStr">
        <is>
          <t>https://castscs.org.cn</t>
        </is>
      </c>
      <c r="L17" s="2" t="inlineStr">
        <is>
          <t>01-china.md</t>
        </is>
      </c>
      <c r="M17" s="4" t="inlineStr"/>
      <c r="N17" s="4" t="inlineStr"/>
      <c r="O17" s="4" t="inlineStr"/>
    </row>
    <row r="18">
      <c r="A18" s="2" t="inlineStr">
        <is>
          <t>CN-05</t>
        </is>
      </c>
      <c r="B18" s="2" t="inlineStr">
        <is>
          <t>Китай</t>
        </is>
      </c>
      <c r="C18" s="2" t="inlineStr">
        <is>
          <t>ASPAC - Asia Pacific Network of Science &amp; Technology Centres</t>
        </is>
      </c>
      <c r="D18" s="2" t="inlineStr">
        <is>
          <t>ASPAC</t>
        </is>
      </c>
      <c r="E18" s="2" t="inlineStr">
        <is>
          <t>Regional (secretariat Singapore)</t>
        </is>
      </c>
      <c r="F18" s="2" t="inlineStr">
        <is>
          <t>Singapore</t>
        </is>
      </c>
      <c r="G18" s="2" t="inlineStr">
        <is>
          <t>Сеть/ассоциация</t>
        </is>
      </c>
      <c r="H18" s="2" t="inlineStr">
        <is>
          <t>MEDIUM</t>
        </is>
      </c>
      <c r="I18" s="2" t="inlineStr">
        <is>
          <t>Условия членства (associate US$210)</t>
        </is>
      </c>
      <c r="J18" s="2" t="inlineStr">
        <is>
          <t>LEE_Song_Choon@science.edu.sg</t>
        </is>
      </c>
      <c r="K18" s="3" t="inlineStr">
        <is>
          <t>https://aspacnet.org</t>
        </is>
      </c>
      <c r="L18" s="2" t="inlineStr">
        <is>
          <t>01-china.md</t>
        </is>
      </c>
      <c r="M18" s="4" t="inlineStr"/>
      <c r="N18" s="4" t="inlineStr"/>
      <c r="O18" s="4" t="inlineStr"/>
    </row>
    <row r="19">
      <c r="A19" s="2" t="inlineStr">
        <is>
          <t>CN-06</t>
        </is>
      </c>
      <c r="B19" s="2" t="inlineStr">
        <is>
          <t>Китай</t>
        </is>
      </c>
      <c r="C19" s="2" t="inlineStr">
        <is>
          <t>ICOM International Training Centre for Museum Studies (ICOM-ITC)</t>
        </is>
      </c>
      <c r="D19" s="2" t="inlineStr">
        <is>
          <t>国际博协国际博物馆培训中心（故宫博物院）</t>
        </is>
      </c>
      <c r="E19" s="2" t="inlineStr">
        <is>
          <t>China</t>
        </is>
      </c>
      <c r="F19" s="2" t="inlineStr">
        <is>
          <t>Beijing</t>
        </is>
      </c>
      <c r="G19" s="2" t="inlineStr">
        <is>
          <t>Госорг./популяризация</t>
        </is>
      </c>
      <c r="H19" s="2" t="inlineStr">
        <is>
          <t>MEDIUM</t>
        </is>
      </c>
      <c r="I19" s="2" t="inlineStr">
        <is>
          <t>Грант ICOM-ITC для 1–2 сотрудников</t>
        </is>
      </c>
      <c r="J19" s="2" t="inlineStr">
        <is>
          <t>не опубликован — см. карточку</t>
        </is>
      </c>
      <c r="K19" s="3" t="inlineStr">
        <is>
          <t>https://icom.museum</t>
        </is>
      </c>
      <c r="L19" s="2" t="inlineStr">
        <is>
          <t>01-china.md</t>
        </is>
      </c>
      <c r="M19" s="4" t="inlineStr"/>
      <c r="N19" s="4" t="inlineStr"/>
      <c r="O19" s="4" t="inlineStr"/>
    </row>
    <row r="20">
      <c r="A20" s="2" t="inlineStr">
        <is>
          <t>CN-07</t>
        </is>
      </c>
      <c r="B20" s="2" t="inlineStr">
        <is>
          <t>Китай</t>
        </is>
      </c>
      <c r="C20" s="2" t="inlineStr">
        <is>
          <t>Shanghai Science and Technology Museum</t>
        </is>
      </c>
      <c r="D20" s="2" t="inlineStr">
        <is>
          <t>上海科技馆</t>
        </is>
      </c>
      <c r="E20" s="2" t="inlineStr">
        <is>
          <t>China</t>
        </is>
      </c>
      <c r="F20" s="2" t="inlineStr">
        <is>
          <t>Shanghai</t>
        </is>
      </c>
      <c r="G20" s="2" t="inlineStr">
        <is>
          <t>Передвижные выставки, Передача снятых экспонатов</t>
        </is>
      </c>
      <c r="H20" s="2" t="inlineStr">
        <is>
          <t>MEDIUM</t>
        </is>
      </c>
      <c r="I20" s="2" t="inlineStr">
        <is>
          <t>Список снятых экспонатов «Мир роботов»/«Информационная эра»; каталог выставок</t>
        </is>
      </c>
      <c r="J20" s="2" t="inlineStr">
        <is>
          <t>не опубликован — см. карточку</t>
        </is>
      </c>
      <c r="K20" s="3" t="inlineStr">
        <is>
          <t>https://sstm.org.cn</t>
        </is>
      </c>
      <c r="L20" s="2" t="inlineStr">
        <is>
          <t>01-china.md</t>
        </is>
      </c>
      <c r="M20" s="4" t="inlineStr"/>
      <c r="N20" s="4" t="inlineStr"/>
      <c r="O20" s="4" t="inlineStr"/>
    </row>
    <row r="21">
      <c r="A21" s="2" t="inlineStr">
        <is>
          <t>CN-08</t>
        </is>
      </c>
      <c r="B21" s="2" t="inlineStr">
        <is>
          <t>Китай</t>
        </is>
      </c>
      <c r="C21" s="2" t="inlineStr">
        <is>
          <t>Guangdong Science Center</t>
        </is>
      </c>
      <c r="D21" s="2" t="inlineStr">
        <is>
          <t>广东科学中心</t>
        </is>
      </c>
      <c r="E21" s="2" t="inlineStr">
        <is>
          <t>China</t>
        </is>
      </c>
      <c r="F21" s="2" t="inlineStr">
        <is>
          <t>Guangzhou</t>
        </is>
      </c>
      <c r="G21" s="2" t="inlineStr">
        <is>
          <t>Передвижные выставки</t>
        </is>
      </c>
      <c r="H21" s="2" t="inlineStr">
        <is>
          <t>MEDIUM</t>
        </is>
      </c>
      <c r="I21" s="2" t="inlineStr">
        <is>
          <t>Каталог передвижных выставок; стажировка</t>
        </is>
      </c>
      <c r="J21" s="2" t="inlineStr">
        <is>
          <t>не опубликован — см. карточку</t>
        </is>
      </c>
      <c r="K21" s="3" t="inlineStr">
        <is>
          <t>https://gdsc.cn</t>
        </is>
      </c>
      <c r="L21" s="2" t="inlineStr">
        <is>
          <t>01-china.md</t>
        </is>
      </c>
      <c r="M21" s="4" t="inlineStr"/>
      <c r="N21" s="4" t="inlineStr"/>
      <c r="O21" s="4" t="inlineStr"/>
    </row>
    <row r="22">
      <c r="A22" s="2" t="inlineStr">
        <is>
          <t>CN-20</t>
        </is>
      </c>
      <c r="B22" s="2" t="inlineStr">
        <is>
          <t>Китай</t>
        </is>
      </c>
      <c r="C22" s="2" t="inlineStr">
        <is>
          <t>DOBOT (Shenzhen Yuejiang Technology)</t>
        </is>
      </c>
      <c r="D22" s="2" t="inlineStr">
        <is>
          <t>越疆科技</t>
        </is>
      </c>
      <c r="E22" s="2" t="inlineStr">
        <is>
          <t>China</t>
        </is>
      </c>
      <c r="F22" s="2" t="inlineStr">
        <is>
          <t>Shenzhen</t>
        </is>
      </c>
      <c r="G22" s="2" t="inlineStr">
        <is>
          <t>Производитель (покупка)</t>
        </is>
      </c>
      <c r="H22" s="2" t="inlineStr">
        <is>
          <t>MEDIUM</t>
        </is>
      </c>
      <c r="I22" s="2" t="inlineStr">
        <is>
          <t>Прайс на 4–6 учебных манипуляторов</t>
        </is>
      </c>
      <c r="J22" s="2" t="inlineStr">
        <is>
          <t>sales@dobot-robots.com</t>
        </is>
      </c>
      <c r="K22" s="3" t="inlineStr">
        <is>
          <t>https://dobot-robots.com</t>
        </is>
      </c>
      <c r="L22" s="2" t="inlineStr">
        <is>
          <t>01-china.md</t>
        </is>
      </c>
      <c r="M22" s="4" t="inlineStr"/>
      <c r="N22" s="4" t="inlineStr"/>
      <c r="O22" s="4" t="inlineStr"/>
    </row>
    <row r="23">
      <c r="A23" s="2" t="inlineStr">
        <is>
          <t>CN-21</t>
        </is>
      </c>
      <c r="B23" s="2" t="inlineStr">
        <is>
          <t>Китай</t>
        </is>
      </c>
      <c r="C23" s="2" t="inlineStr">
        <is>
          <t>Makeblock</t>
        </is>
      </c>
      <c r="D23" s="2" t="inlineStr">
        <is>
          <t>童心制物</t>
        </is>
      </c>
      <c r="E23" s="2" t="inlineStr">
        <is>
          <t>China</t>
        </is>
      </c>
      <c r="F23" s="2" t="inlineStr">
        <is>
          <t>Shenzhen</t>
        </is>
      </c>
      <c r="G23" s="2" t="inlineStr">
        <is>
          <t>Производитель (покупка)</t>
        </is>
      </c>
      <c r="H23" s="2" t="inlineStr">
        <is>
          <t>MEDIUM</t>
        </is>
      </c>
      <c r="I23" s="2" t="inlineStr">
        <is>
          <t>Оснащение STEM-мастерской; партнёр в ЦА</t>
        </is>
      </c>
      <c r="J23" s="2" t="inlineStr">
        <is>
          <t>не опубликован — см. карточку</t>
        </is>
      </c>
      <c r="K23" s="3" t="inlineStr">
        <is>
          <t>https://makeblock.com</t>
        </is>
      </c>
      <c r="L23" s="2" t="inlineStr">
        <is>
          <t>01-china.md</t>
        </is>
      </c>
      <c r="M23" s="4" t="inlineStr"/>
      <c r="N23" s="4" t="inlineStr"/>
      <c r="O23" s="4" t="inlineStr"/>
    </row>
    <row r="24">
      <c r="A24" s="2" t="inlineStr">
        <is>
          <t>CN-22</t>
        </is>
      </c>
      <c r="B24" s="2" t="inlineStr">
        <is>
          <t>Китай</t>
        </is>
      </c>
      <c r="C24" s="2" t="inlineStr">
        <is>
          <t>BYD Uzbekistan Factory</t>
        </is>
      </c>
      <c r="D24" s="2" t="inlineStr">
        <is>
          <t>BYD Uzbekistan Factory</t>
        </is>
      </c>
      <c r="E24" s="2" t="inlineStr">
        <is>
          <t>Uzbekistan (China company)</t>
        </is>
      </c>
      <c r="F24" s="2" t="inlineStr">
        <is>
          <t>Jizzakh/Tashkent</t>
        </is>
      </c>
      <c r="G24" s="2" t="inlineStr">
        <is>
          <t>Спонсор/донор</t>
        </is>
      </c>
      <c r="H24" s="2" t="inlineStr">
        <is>
          <t>MEDIUM</t>
        </is>
      </c>
      <c r="I24" s="2" t="inlineStr">
        <is>
          <t>Разрезной электромобиль/стенд батареи; спонсорство зала EV</t>
        </is>
      </c>
      <c r="J24" s="2" t="inlineStr">
        <is>
          <t>info@bydauto.uz</t>
        </is>
      </c>
      <c r="K24" s="3" t="inlineStr">
        <is>
          <t>https://bydauto.uz</t>
        </is>
      </c>
      <c r="L24" s="2" t="inlineStr">
        <is>
          <t>01-china.md</t>
        </is>
      </c>
      <c r="M24" s="4" t="inlineStr"/>
      <c r="N24" s="4" t="inlineStr"/>
      <c r="O24" s="4" t="inlineStr"/>
    </row>
    <row r="25">
      <c r="A25" s="2" t="inlineStr">
        <is>
          <t>CN-23</t>
        </is>
      </c>
      <c r="B25" s="2" t="inlineStr">
        <is>
          <t>Китай</t>
        </is>
      </c>
      <c r="C25" s="2" t="inlineStr">
        <is>
          <t>CRRC Corporation</t>
        </is>
      </c>
      <c r="D25" s="2" t="inlineStr">
        <is>
          <t>中国中车</t>
        </is>
      </c>
      <c r="E25" s="2" t="inlineStr">
        <is>
          <t>China</t>
        </is>
      </c>
      <c r="F25" s="2" t="inlineStr">
        <is>
          <t>Beijing</t>
        </is>
      </c>
      <c r="G25" s="2" t="inlineStr">
        <is>
          <t>Спонсор/донор</t>
        </is>
      </c>
      <c r="H25" s="2" t="inlineStr">
        <is>
          <t>MEDIUM</t>
        </is>
      </c>
      <c r="I25" s="2" t="inlineStr">
        <is>
          <t>Модели локомотивов, разрез тележки, тренажёр</t>
        </is>
      </c>
      <c r="J25" s="2" t="inlineStr">
        <is>
          <t>crrc@crrcgc.cc</t>
        </is>
      </c>
      <c r="K25" s="3" t="inlineStr">
        <is>
          <t>https://crrcgc.cc</t>
        </is>
      </c>
      <c r="L25" s="2" t="inlineStr">
        <is>
          <t>01-china.md</t>
        </is>
      </c>
      <c r="M25" s="4" t="inlineStr"/>
      <c r="N25" s="4" t="inlineStr"/>
      <c r="O25" s="4" t="inlineStr"/>
    </row>
    <row r="26">
      <c r="A26" s="2" t="inlineStr">
        <is>
          <t>CN-24</t>
        </is>
      </c>
      <c r="B26" s="2" t="inlineStr">
        <is>
          <t>Китай</t>
        </is>
      </c>
      <c r="C26" s="2" t="inlineStr">
        <is>
          <t>Huawei Uzbekistan</t>
        </is>
      </c>
      <c r="D26" s="2" t="inlineStr">
        <is>
          <t>Huawei Tech Investment Tashkent</t>
        </is>
      </c>
      <c r="E26" s="2" t="inlineStr">
        <is>
          <t>Uzbekistan (China company)</t>
        </is>
      </c>
      <c r="F26" s="2" t="inlineStr">
        <is>
          <t>Tashkent</t>
        </is>
      </c>
      <c r="G26" s="2" t="inlineStr">
        <is>
          <t>Спонсор/донор</t>
        </is>
      </c>
      <c r="H26" s="2" t="inlineStr">
        <is>
          <t>MEDIUM</t>
        </is>
      </c>
      <c r="I26" s="2" t="inlineStr">
        <is>
          <t>Спонсорство экспозиции связь/цифровая энергетика</t>
        </is>
      </c>
      <c r="J26" s="2" t="inlineStr">
        <is>
          <t>infouz@huawei.com</t>
        </is>
      </c>
      <c r="K26" s="3" t="inlineStr">
        <is>
          <t>https://huawei.com/uz</t>
        </is>
      </c>
      <c r="L26" s="2" t="inlineStr">
        <is>
          <t>01-china.md</t>
        </is>
      </c>
      <c r="M26" s="4" t="inlineStr"/>
      <c r="N26" s="4" t="inlineStr"/>
      <c r="O26" s="4" t="inlineStr"/>
    </row>
    <row r="27">
      <c r="A27" s="2" t="inlineStr">
        <is>
          <t>CN-25</t>
        </is>
      </c>
      <c r="B27" s="2" t="inlineStr">
        <is>
          <t>Китай</t>
        </is>
      </c>
      <c r="C27" s="2" t="inlineStr">
        <is>
          <t>China Energy Engineering (Energy China / Energy China International)</t>
        </is>
      </c>
      <c r="D27" s="2" t="inlineStr">
        <is>
          <t>中国能源建设</t>
        </is>
      </c>
      <c r="E27" s="2" t="inlineStr">
        <is>
          <t>China</t>
        </is>
      </c>
      <c r="F27" s="2" t="inlineStr">
        <is>
          <t>Beijing/Tashkent</t>
        </is>
      </c>
      <c r="G27" s="2" t="inlineStr">
        <is>
          <t>Спонсор/донор</t>
        </is>
      </c>
      <c r="H27" s="2" t="inlineStr">
        <is>
          <t>MEDIUM</t>
        </is>
      </c>
      <c r="I27" s="2" t="inlineStr">
        <is>
          <t>Спонсорство зала «Энергия»</t>
        </is>
      </c>
      <c r="J27" s="2" t="inlineStr">
        <is>
          <t>не опубликован — см. карточку</t>
        </is>
      </c>
      <c r="K27" s="3" t="inlineStr">
        <is>
          <t>https://ceec.net.cn</t>
        </is>
      </c>
      <c r="L27" s="2" t="inlineStr">
        <is>
          <t>01-china.md</t>
        </is>
      </c>
      <c r="M27" s="4" t="inlineStr"/>
      <c r="N27" s="4" t="inlineStr"/>
      <c r="O27" s="4" t="inlineStr"/>
    </row>
    <row r="28">
      <c r="A28" s="2" t="inlineStr">
        <is>
          <t>CN-26</t>
        </is>
      </c>
      <c r="B28" s="2" t="inlineStr">
        <is>
          <t>Китай</t>
        </is>
      </c>
      <c r="C28" s="2" t="inlineStr">
        <is>
          <t>Tianjin Maritime College - Luban Workshop Uzbekistan</t>
        </is>
      </c>
      <c r="D28" s="2" t="inlineStr">
        <is>
          <t>天津海运职业学院 / 乌兹别克斯坦鲁班工坊</t>
        </is>
      </c>
      <c r="E28" s="2" t="inlineStr">
        <is>
          <t>China</t>
        </is>
      </c>
      <c r="F28" s="2" t="inlineStr">
        <is>
          <t>Tianjin/Tashkent</t>
        </is>
      </c>
      <c r="G28" s="2" t="inlineStr">
        <is>
          <t>Госорг./популяризация</t>
        </is>
      </c>
      <c r="H28" s="2" t="inlineStr">
        <is>
          <t>MEDIUM</t>
        </is>
      </c>
      <c r="I28" s="2" t="inlineStr">
        <is>
          <t>Мастер-классы по транспортной логистике</t>
        </is>
      </c>
      <c r="J28" s="2" t="inlineStr">
        <is>
          <t>не опубликован — см. карточку</t>
        </is>
      </c>
      <c r="K28" s="3" t="inlineStr">
        <is>
          <t>https://tjmc.edu.cn</t>
        </is>
      </c>
      <c r="L28" s="2" t="inlineStr">
        <is>
          <t>01-china.md</t>
        </is>
      </c>
      <c r="M28" s="4" t="inlineStr"/>
      <c r="N28" s="4" t="inlineStr"/>
      <c r="O28" s="4" t="inlineStr"/>
    </row>
    <row r="29">
      <c r="A29" s="2" t="inlineStr">
        <is>
          <t>CN-27</t>
        </is>
      </c>
      <c r="B29" s="2" t="inlineStr">
        <is>
          <t>Китай</t>
        </is>
      </c>
      <c r="C29" s="2" t="inlineStr">
        <is>
          <t>Shenzhen Foundation for International Exchange and Cooperation</t>
        </is>
      </c>
      <c r="D29" s="2" t="inlineStr">
        <is>
          <t>深圳市国际交流合作基金会</t>
        </is>
      </c>
      <c r="E29" s="2" t="inlineStr">
        <is>
          <t>China</t>
        </is>
      </c>
      <c r="F29" s="2" t="inlineStr">
        <is>
          <t>Shenzhen</t>
        </is>
      </c>
      <c r="G29" s="2" t="inlineStr">
        <is>
          <t>Госорг./популяризация, Спонсор/донор</t>
        </is>
      </c>
      <c r="H29" s="2" t="inlineStr">
        <is>
          <t>MEDIUM</t>
        </is>
      </c>
      <c r="I29" s="2" t="inlineStr">
        <is>
          <t>Пожертвование оснащения мейкер-мастерской</t>
        </is>
      </c>
      <c r="J29" s="2" t="inlineStr">
        <is>
          <t>sfiec@sfiec.org.cn</t>
        </is>
      </c>
      <c r="K29" s="3" t="inlineStr">
        <is>
          <t>https://sfiec.org.cn</t>
        </is>
      </c>
      <c r="L29" s="2" t="inlineStr">
        <is>
          <t>01-china.md</t>
        </is>
      </c>
      <c r="M29" s="4" t="inlineStr"/>
      <c r="N29" s="4" t="inlineStr"/>
      <c r="O29" s="4" t="inlineStr"/>
    </row>
    <row r="30">
      <c r="A30" s="2" t="inlineStr">
        <is>
          <t>RU-03</t>
        </is>
      </c>
      <c r="B30" s="2" t="inlineStr">
        <is>
          <t>Россия</t>
        </is>
      </c>
      <c r="C30" s="2" t="inlineStr">
        <is>
          <t>AMNIT - Association for the Development of S&amp;T Museums</t>
        </is>
      </c>
      <c r="D30" s="2" t="inlineStr">
        <is>
          <t>Ассоциация содействия развитию научно-технических музеев (АМНИТ)</t>
        </is>
      </c>
      <c r="E30" s="2" t="inlineStr">
        <is>
          <t>Russia</t>
        </is>
      </c>
      <c r="F30" s="2" t="inlineStr">
        <is>
          <t>Moscow</t>
        </is>
      </c>
      <c r="G30" s="2" t="inlineStr">
        <is>
          <t>Сеть/ассоциация</t>
        </is>
      </c>
      <c r="H30" s="2" t="inlineStr">
        <is>
          <t>MEDIUM</t>
        </is>
      </c>
      <c r="I30" s="2" t="inlineStr">
        <is>
          <t>Условия участия; доклад на конференции</t>
        </is>
      </c>
      <c r="J30" s="2" t="inlineStr">
        <is>
          <t>amnit.ngo@gmail.com</t>
        </is>
      </c>
      <c r="K30" s="3" t="inlineStr">
        <is>
          <t>https://amnit.org</t>
        </is>
      </c>
      <c r="L30" s="2" t="inlineStr">
        <is>
          <t>03-russia.md</t>
        </is>
      </c>
      <c r="M30" s="4" t="inlineStr"/>
      <c r="N30" s="4" t="inlineStr"/>
      <c r="O30" s="4" t="inlineStr"/>
    </row>
    <row r="31">
      <c r="A31" s="2" t="inlineStr">
        <is>
          <t>RU-06</t>
        </is>
      </c>
      <c r="B31" s="2" t="inlineStr">
        <is>
          <t>Россия</t>
        </is>
      </c>
      <c r="C31" s="2" t="inlineStr">
        <is>
          <t>Memorial Museum of Cosmonautics</t>
        </is>
      </c>
      <c r="D31" s="2" t="inlineStr">
        <is>
          <t>Музей космонавтики</t>
        </is>
      </c>
      <c r="E31" s="2" t="inlineStr">
        <is>
          <t>Russia</t>
        </is>
      </c>
      <c r="F31" s="2" t="inlineStr">
        <is>
          <t>Moscow</t>
        </is>
      </c>
      <c r="G31" s="2" t="inlineStr">
        <is>
          <t>Передвижные выставки, Отраслевой музей</t>
        </is>
      </c>
      <c r="H31" s="2" t="inlineStr">
        <is>
          <t>MEDIUM</t>
        </is>
      </c>
      <c r="I31" s="2" t="inlineStr">
        <is>
          <t>Цифровая выставка без затрат на перевозку</t>
        </is>
      </c>
      <c r="J31" s="2" t="inlineStr">
        <is>
          <t>info@kosmo-museum.ru</t>
        </is>
      </c>
      <c r="K31" s="3" t="inlineStr">
        <is>
          <t>https://kosmo-museum.ru</t>
        </is>
      </c>
      <c r="L31" s="2" t="inlineStr">
        <is>
          <t>03-russia.md</t>
        </is>
      </c>
      <c r="M31" s="4" t="inlineStr"/>
      <c r="N31" s="4" t="inlineStr"/>
      <c r="O31" s="4" t="inlineStr"/>
    </row>
    <row r="32">
      <c r="A32" s="2" t="inlineStr">
        <is>
          <t>RU-09</t>
        </is>
      </c>
      <c r="B32" s="2" t="inlineStr">
        <is>
          <t>Россия</t>
        </is>
      </c>
      <c r="C32" s="2" t="inlineStr">
        <is>
          <t>Rosatom / ICAT Tashkent (with Uzatom)</t>
        </is>
      </c>
      <c r="D32" s="2" t="inlineStr">
        <is>
          <t>Росатом / ИЦАТ</t>
        </is>
      </c>
      <c r="E32" s="2" t="inlineStr">
        <is>
          <t>Uzbekistan (Russian company)</t>
        </is>
      </c>
      <c r="F32" s="2" t="inlineStr">
        <is>
          <t>Tashkent</t>
        </is>
      </c>
      <c r="G32" s="2" t="inlineStr">
        <is>
          <t>Госорг./популяризация, Спонсор/донор</t>
        </is>
      </c>
      <c r="H32" s="2" t="inlineStr">
        <is>
          <t>MEDIUM</t>
        </is>
      </c>
      <c r="I32" s="2" t="inlineStr">
        <is>
          <t>Совместная выставка «Энергия атома», макет АЭС</t>
        </is>
      </c>
      <c r="J32" s="2" t="inlineStr">
        <is>
          <t>не опубликован — см. карточку</t>
        </is>
      </c>
      <c r="K32" s="3" t="inlineStr">
        <is>
          <t>https://uzatom.uz</t>
        </is>
      </c>
      <c r="L32" s="2" t="inlineStr">
        <is>
          <t>03-russia.md</t>
        </is>
      </c>
      <c r="M32" s="4" t="inlineStr"/>
      <c r="N32" s="4" t="inlineStr"/>
      <c r="O32" s="4" t="inlineStr"/>
    </row>
    <row r="33">
      <c r="A33" s="2" t="inlineStr">
        <is>
          <t>RU-10</t>
        </is>
      </c>
      <c r="B33" s="2" t="inlineStr">
        <is>
          <t>Россия</t>
        </is>
      </c>
      <c r="C33" s="2" t="inlineStr">
        <is>
          <t>Rossotrudnichestvo - Russian House in Tashkent</t>
        </is>
      </c>
      <c r="D33" s="2" t="inlineStr">
        <is>
          <t>Русский дом в Ташкенте</t>
        </is>
      </c>
      <c r="E33" s="2" t="inlineStr">
        <is>
          <t>Uzbekistan (Russian agency)</t>
        </is>
      </c>
      <c r="F33" s="2" t="inlineStr">
        <is>
          <t>Tashkent</t>
        </is>
      </c>
      <c r="G33" s="2" t="inlineStr">
        <is>
          <t>Госорг./популяризация</t>
        </is>
      </c>
      <c r="H33" s="2" t="inlineStr">
        <is>
          <t>MEDIUM</t>
        </is>
      </c>
      <c r="I33" s="2" t="inlineStr">
        <is>
          <t>Цикл «Инженеры будущего»; содействие привозу выставок</t>
        </is>
      </c>
      <c r="J33" s="2" t="inlineStr">
        <is>
          <t>obrazovanie@uzb.rs.gov.ru</t>
        </is>
      </c>
      <c r="K33" s="3" t="inlineStr">
        <is>
          <t>https://uzb.rs.gov.ru</t>
        </is>
      </c>
      <c r="L33" s="2" t="inlineStr">
        <is>
          <t>03-russia.md</t>
        </is>
      </c>
      <c r="M33" s="4" t="inlineStr"/>
      <c r="N33" s="4" t="inlineStr"/>
      <c r="O33" s="4" t="inlineStr"/>
    </row>
    <row r="34">
      <c r="A34" s="2" t="inlineStr">
        <is>
          <t>RU-11</t>
        </is>
      </c>
      <c r="B34" s="2" t="inlineStr">
        <is>
          <t>Россия</t>
        </is>
      </c>
      <c r="C34" s="2" t="inlineStr">
        <is>
          <t>Transmashholding (TMH) / Metrowagonmash</t>
        </is>
      </c>
      <c r="D34" s="2" t="inlineStr">
        <is>
          <t>Трансмашхолдинг / Метровагонмаш</t>
        </is>
      </c>
      <c r="E34" s="2" t="inlineStr">
        <is>
          <t>Russia</t>
        </is>
      </c>
      <c r="F34" s="2" t="inlineStr">
        <is>
          <t>Moscow</t>
        </is>
      </c>
      <c r="G34" s="2" t="inlineStr">
        <is>
          <t>Спонсор/донор</t>
        </is>
      </c>
      <c r="H34" s="2" t="inlineStr">
        <is>
          <t>MEDIUM</t>
        </is>
      </c>
      <c r="I34" s="2" t="inlineStr">
        <is>
          <t>Тренажёр кабины метро, разрез тележки, модель вагона</t>
        </is>
      </c>
      <c r="J34" s="2" t="inlineStr">
        <is>
          <t>info@tmholding.ru</t>
        </is>
      </c>
      <c r="K34" s="3" t="inlineStr">
        <is>
          <t>https://tmholding.ru</t>
        </is>
      </c>
      <c r="L34" s="2" t="inlineStr">
        <is>
          <t>03-russia.md</t>
        </is>
      </c>
      <c r="M34" s="4" t="inlineStr"/>
      <c r="N34" s="4" t="inlineStr"/>
      <c r="O34" s="4" t="inlineStr"/>
    </row>
    <row r="35">
      <c r="A35" s="2" t="inlineStr">
        <is>
          <t>RU-12</t>
        </is>
      </c>
      <c r="B35" s="2" t="inlineStr">
        <is>
          <t>Россия</t>
        </is>
      </c>
      <c r="C35" s="2" t="inlineStr">
        <is>
          <t>Lukoil Uzbekistan Operating Company</t>
        </is>
      </c>
      <c r="D35" s="2" t="inlineStr">
        <is>
          <t>ЛУКОЙЛ Узбекистан</t>
        </is>
      </c>
      <c r="E35" s="2" t="inlineStr">
        <is>
          <t>Uzbekistan (Russian company)</t>
        </is>
      </c>
      <c r="F35" s="2" t="inlineStr">
        <is>
          <t>Tashkent</t>
        </is>
      </c>
      <c r="G35" s="2" t="inlineStr">
        <is>
          <t>Спонсор/донор</t>
        </is>
      </c>
      <c r="H35" s="2" t="inlineStr">
        <is>
          <t>MEDIUM</t>
        </is>
      </c>
      <c r="I35" s="2" t="inlineStr">
        <is>
          <t>Спонсорство модуля «газ и энергия»</t>
        </is>
      </c>
      <c r="J35" s="2" t="inlineStr">
        <is>
          <t>uzbekistan@lukoil-international.uz</t>
        </is>
      </c>
      <c r="K35" s="3" t="inlineStr">
        <is>
          <t>https://lukoil-international.uz</t>
        </is>
      </c>
      <c r="L35" s="2" t="inlineStr">
        <is>
          <t>03-russia.md</t>
        </is>
      </c>
      <c r="M35" s="4" t="inlineStr"/>
      <c r="N35" s="4" t="inlineStr"/>
      <c r="O35" s="4" t="inlineStr"/>
    </row>
    <row r="36">
      <c r="A36" s="2" t="inlineStr">
        <is>
          <t>TR-02</t>
        </is>
      </c>
      <c r="B36" s="2" t="inlineStr">
        <is>
          <t>Турция</t>
        </is>
      </c>
      <c r="C36" s="2" t="inlineStr">
        <is>
          <t>TÜBİTAK - Science Centres Directorate</t>
        </is>
      </c>
      <c r="D36" s="2" t="inlineStr">
        <is>
          <t>TÜBİTAK Bilim ve Toplum Başkanlığı / Bilim Merkezleri</t>
        </is>
      </c>
      <c r="E36" s="2" t="inlineStr">
        <is>
          <t>Turkey</t>
        </is>
      </c>
      <c r="F36" s="2" t="inlineStr">
        <is>
          <t>Ankara</t>
        </is>
      </c>
      <c r="G36" s="2" t="inlineStr">
        <is>
          <t>Госорг./популяризация, Сеть/ассоциация</t>
        </is>
      </c>
      <c r="H36" s="2" t="inlineStr">
        <is>
          <t>MEDIUM</t>
        </is>
      </c>
      <c r="I36" s="2" t="inlineStr">
        <is>
          <t>Приглашение на TÜBİTEM; методики/чертежи установок; стажировка</t>
        </is>
      </c>
      <c r="J36" s="2" t="inlineStr">
        <is>
          <t>bilimmerkezleri@tubitak.gov.tr</t>
        </is>
      </c>
      <c r="K36" s="3" t="inlineStr">
        <is>
          <t>https://bilimmerkezleri.tubitak.gov.tr</t>
        </is>
      </c>
      <c r="L36" s="2" t="inlineStr">
        <is>
          <t>03-turkey.md</t>
        </is>
      </c>
      <c r="M36" s="4" t="inlineStr"/>
      <c r="N36" s="4" t="inlineStr"/>
      <c r="O36" s="4" t="inlineStr"/>
    </row>
    <row r="37">
      <c r="A37" s="2" t="inlineStr">
        <is>
          <t>TR-05</t>
        </is>
      </c>
      <c r="B37" s="2" t="inlineStr">
        <is>
          <t>Турция</t>
        </is>
      </c>
      <c r="C37" s="2" t="inlineStr">
        <is>
          <t>Bursa Science and Technology Centre (BTM)</t>
        </is>
      </c>
      <c r="D37" s="2" t="inlineStr">
        <is>
          <t>Bursa Bilim ve Teknoloji Merkezi</t>
        </is>
      </c>
      <c r="E37" s="2" t="inlineStr">
        <is>
          <t>Turkey</t>
        </is>
      </c>
      <c r="F37" s="2" t="inlineStr">
        <is>
          <t>Bursa</t>
        </is>
      </c>
      <c r="G37" s="2" t="inlineStr">
        <is>
          <t>Передвижные выставки</t>
        </is>
      </c>
      <c r="H37" s="2" t="inlineStr">
        <is>
          <t>MEDIUM</t>
        </is>
      </c>
      <c r="I37" s="2" t="inlineStr">
        <is>
          <t>Аренда/покупка передвижной выставки; обмен экспонатами</t>
        </is>
      </c>
      <c r="J37" s="2" t="inlineStr">
        <is>
          <t>btm@bursa.bel.tr</t>
        </is>
      </c>
      <c r="K37" s="3" t="inlineStr">
        <is>
          <t>https://bursabilimmerkezi.org</t>
        </is>
      </c>
      <c r="L37" s="2" t="inlineStr">
        <is>
          <t>03-turkey.md</t>
        </is>
      </c>
      <c r="M37" s="4" t="inlineStr"/>
      <c r="N37" s="4" t="inlineStr"/>
      <c r="O37" s="4" t="inlineStr"/>
    </row>
    <row r="38">
      <c r="A38" s="2" t="inlineStr">
        <is>
          <t>TR-07</t>
        </is>
      </c>
      <c r="B38" s="2" t="inlineStr">
        <is>
          <t>Турция</t>
        </is>
      </c>
      <c r="C38" s="2" t="inlineStr">
        <is>
          <t>Anadolu Isuzu (SamAuto majority owner)</t>
        </is>
      </c>
      <c r="D38" s="2" t="inlineStr">
        <is>
          <t>Anadolu Isuzu Otomotiv</t>
        </is>
      </c>
      <c r="E38" s="2" t="inlineStr">
        <is>
          <t>Turkey/Uzbekistan</t>
        </is>
      </c>
      <c r="F38" s="2" t="inlineStr">
        <is>
          <t>Kocaeli/Samarkand</t>
        </is>
      </c>
      <c r="G38" s="2" t="inlineStr">
        <is>
          <t>Спонсор/донор</t>
        </is>
      </c>
      <c r="H38" s="2" t="inlineStr">
        <is>
          <t>MEDIUM</t>
        </is>
      </c>
      <c r="I38" s="2" t="inlineStr">
        <is>
          <t>Стенд/разрез привода электробуса; спонсорство</t>
        </is>
      </c>
      <c r="J38" s="2" t="inlineStr">
        <is>
          <t>isuzu@isuzu.com.tr</t>
        </is>
      </c>
      <c r="K38" s="3" t="inlineStr">
        <is>
          <t>https://anadoluisuzu.com.tr</t>
        </is>
      </c>
      <c r="L38" s="2" t="inlineStr">
        <is>
          <t>03-turkey.md</t>
        </is>
      </c>
      <c r="M38" s="4" t="inlineStr"/>
      <c r="N38" s="4" t="inlineStr"/>
      <c r="O38" s="4" t="inlineStr"/>
    </row>
    <row r="39">
      <c r="A39" s="2" t="inlineStr">
        <is>
          <t>TR-08</t>
        </is>
      </c>
      <c r="B39" s="2" t="inlineStr">
        <is>
          <t>Турция</t>
        </is>
      </c>
      <c r="C39" s="2" t="inlineStr">
        <is>
          <t>Organization of Turkic States (OTS) Secretariat</t>
        </is>
      </c>
      <c r="D39" s="2" t="inlineStr">
        <is>
          <t>Türk Devletleri Teşkilatı</t>
        </is>
      </c>
      <c r="E39" s="2" t="inlineStr">
        <is>
          <t>Regional (Turkey)</t>
        </is>
      </c>
      <c r="F39" s="2" t="inlineStr">
        <is>
          <t>Istanbul</t>
        </is>
      </c>
      <c r="G39" s="2" t="inlineStr">
        <is>
          <t>Госорг./популяризация</t>
        </is>
      </c>
      <c r="H39" s="2" t="inlineStr">
        <is>
          <t>MEDIUM</t>
        </is>
      </c>
      <c r="I39" s="2" t="inlineStr">
        <is>
          <t>Выставка «Инженеры тюркского мира» в программах ISTI/молодёжи</t>
        </is>
      </c>
      <c r="J39" s="2" t="inlineStr">
        <is>
          <t>info@turkicstates.org</t>
        </is>
      </c>
      <c r="K39" s="3" t="inlineStr">
        <is>
          <t>https://turkicstates.org</t>
        </is>
      </c>
      <c r="L39" s="2" t="inlineStr">
        <is>
          <t>03-turkey.md</t>
        </is>
      </c>
      <c r="M39" s="4" t="inlineStr"/>
      <c r="N39" s="4" t="inlineStr"/>
      <c r="O39" s="4" t="inlineStr"/>
    </row>
    <row r="40">
      <c r="A40" s="2" t="inlineStr">
        <is>
          <t>TR-09</t>
        </is>
      </c>
      <c r="B40" s="2" t="inlineStr">
        <is>
          <t>Турция</t>
        </is>
      </c>
      <c r="C40" s="2" t="inlineStr">
        <is>
          <t>GES Teknoloji</t>
        </is>
      </c>
      <c r="D40" s="2" t="inlineStr">
        <is>
          <t>GES Teknoloji</t>
        </is>
      </c>
      <c r="E40" s="2" t="inlineStr">
        <is>
          <t>Turkey</t>
        </is>
      </c>
      <c r="F40" s="2" t="inlineStr">
        <is>
          <t>Istanbul</t>
        </is>
      </c>
      <c r="G40" s="2" t="inlineStr">
        <is>
          <t>Производитель (покупка)</t>
        </is>
      </c>
      <c r="H40" s="2" t="inlineStr">
        <is>
          <t>MEDIUM</t>
        </is>
      </c>
      <c r="I40" s="2" t="inlineStr">
        <is>
          <t>Прайс на физические установки и VR-модули</t>
        </is>
      </c>
      <c r="J40" s="2" t="inlineStr">
        <is>
          <t>info@gesteknoloji.com.tr</t>
        </is>
      </c>
      <c r="K40" s="3" t="inlineStr">
        <is>
          <t>https://gesteknoloji.com.tr</t>
        </is>
      </c>
      <c r="L40" s="2" t="inlineStr">
        <is>
          <t>03-turkey.md</t>
        </is>
      </c>
      <c r="M40" s="4" t="inlineStr"/>
      <c r="N40" s="4" t="inlineStr"/>
      <c r="O40" s="4" t="inlineStr"/>
    </row>
    <row r="41">
      <c r="A41" s="2" t="inlineStr">
        <is>
          <t>TR-10</t>
        </is>
      </c>
      <c r="B41" s="2" t="inlineStr">
        <is>
          <t>Турция</t>
        </is>
      </c>
      <c r="C41" s="2" t="inlineStr">
        <is>
          <t>DEİK - Türkiye–Uzbekistan Business Council</t>
        </is>
      </c>
      <c r="D41" s="2" t="inlineStr">
        <is>
          <t>DEİK Türkiye-Özbekistan İş Konseyi</t>
        </is>
      </c>
      <c r="E41" s="2" t="inlineStr">
        <is>
          <t>Turkey</t>
        </is>
      </c>
      <c r="F41" s="2" t="inlineStr">
        <is>
          <t>Istanbul</t>
        </is>
      </c>
      <c r="G41" s="2" t="inlineStr">
        <is>
          <t>Спонсор/донор</t>
        </is>
      </c>
      <c r="H41" s="2" t="inlineStr">
        <is>
          <t>MEDIUM</t>
        </is>
      </c>
      <c r="I41" s="2" t="inlineStr">
        <is>
          <t>Рассылка спонсорского пакета; презентация на бизнес-форуме</t>
        </is>
      </c>
      <c r="J41" s="2" t="inlineStr">
        <is>
          <t>ozbekistan@deik.org.tr</t>
        </is>
      </c>
      <c r="K41" s="3" t="inlineStr">
        <is>
          <t>https://deik.org.tr</t>
        </is>
      </c>
      <c r="L41" s="2" t="inlineStr">
        <is>
          <t>03-turkey.md</t>
        </is>
      </c>
      <c r="M41" s="4" t="inlineStr"/>
      <c r="N41" s="4" t="inlineStr"/>
      <c r="O41" s="4" t="inlineStr"/>
    </row>
    <row r="42">
      <c r="A42" s="2" t="inlineStr">
        <is>
          <t>DE-01</t>
        </is>
      </c>
      <c r="B42" s="2" t="inlineStr">
        <is>
          <t>Германия</t>
        </is>
      </c>
      <c r="C42" s="2" t="inlineStr">
        <is>
          <t>MAN Truck &amp; Bus — MAN Auto-Uzbekistan JV</t>
        </is>
      </c>
      <c r="D42" s="2" t="inlineStr">
        <is>
          <t>MAN Auto-Uzbekistan</t>
        </is>
      </c>
      <c r="E42" s="2" t="inlineStr">
        <is>
          <t>Uzbekistan (German JV)</t>
        </is>
      </c>
      <c r="F42" s="2" t="inlineStr">
        <is>
          <t>Samarkand</t>
        </is>
      </c>
      <c r="G42" s="2" t="inlineStr">
        <is>
          <t>Спонсор/донор</t>
        </is>
      </c>
      <c r="H42" s="2" t="inlineStr">
        <is>
          <t>MEDIUM</t>
        </is>
      </c>
      <c r="I42" s="2" t="inlineStr">
        <is>
          <t>Разрез двигателя/КПП, стенд тормозов; спонсорство (через «Узавтосаноат»)</t>
        </is>
      </c>
      <c r="J42" s="2" t="inlineStr">
        <is>
          <t>info@uzavtosanoat.uz</t>
        </is>
      </c>
      <c r="K42" s="3" t="inlineStr">
        <is>
          <t>https://man.eu</t>
        </is>
      </c>
      <c r="L42" s="2" t="inlineStr">
        <is>
          <t>03-germany.md</t>
        </is>
      </c>
      <c r="M42" s="4" t="inlineStr"/>
      <c r="N42" s="4" t="inlineStr"/>
      <c r="O42" s="4" t="inlineStr"/>
    </row>
    <row r="43">
      <c r="A43" s="2" t="inlineStr">
        <is>
          <t>DE-02</t>
        </is>
      </c>
      <c r="B43" s="2" t="inlineStr">
        <is>
          <t>Германия</t>
        </is>
      </c>
      <c r="C43" s="2" t="inlineStr">
        <is>
          <t>Deutsches Museum</t>
        </is>
      </c>
      <c r="D43" s="2" t="inlineStr">
        <is>
          <t>Deutsches Museum</t>
        </is>
      </c>
      <c r="E43" s="2" t="inlineStr">
        <is>
          <t>Germany</t>
        </is>
      </c>
      <c r="F43" s="2" t="inlineStr">
        <is>
          <t>Munich</t>
        </is>
      </c>
      <c r="G43" s="2" t="inlineStr">
        <is>
          <t>Отраслевой музей, Передача снятых экспонатов</t>
        </is>
      </c>
      <c r="H43" s="2" t="inlineStr">
        <is>
          <t>MEDIUM</t>
        </is>
      </c>
      <c r="I43" s="2" t="inlineStr">
        <is>
          <t>Консультации; займы; предметы на вывод (Dr. J.-G. Hagmann)</t>
        </is>
      </c>
      <c r="J43" s="2" t="inlineStr">
        <is>
          <t>besucherservice@deutsches-museum.de</t>
        </is>
      </c>
      <c r="K43" s="3" t="inlineStr">
        <is>
          <t>https://deutsches-museum.de</t>
        </is>
      </c>
      <c r="L43" s="2" t="inlineStr">
        <is>
          <t>03-germany.md</t>
        </is>
      </c>
      <c r="M43" s="4" t="inlineStr"/>
      <c r="N43" s="4" t="inlineStr"/>
      <c r="O43" s="4" t="inlineStr"/>
    </row>
    <row r="44">
      <c r="A44" s="2" t="inlineStr">
        <is>
          <t>DE-04</t>
        </is>
      </c>
      <c r="B44" s="2" t="inlineStr">
        <is>
          <t>Германия</t>
        </is>
      </c>
      <c r="C44" s="2" t="inlineStr">
        <is>
          <t>archimedes exhibitions GmbH</t>
        </is>
      </c>
      <c r="D44" s="2" t="inlineStr">
        <is>
          <t>archimedes exhibitions</t>
        </is>
      </c>
      <c r="E44" s="2" t="inlineStr">
        <is>
          <t>Germany</t>
        </is>
      </c>
      <c r="F44" s="2" t="inlineStr">
        <is>
          <t>Berlin</t>
        </is>
      </c>
      <c r="G44" s="2" t="inlineStr">
        <is>
          <t>Производитель (покупка), Передвижные выставки</t>
        </is>
      </c>
      <c r="H44" s="2" t="inlineStr">
        <is>
          <t>MEDIUM</t>
        </is>
      </c>
      <c r="I44" s="2" t="inlineStr">
        <is>
          <t>Каталог выставок для аренды/покупки</t>
        </is>
      </c>
      <c r="J44" s="2" t="inlineStr">
        <is>
          <t>hello@archimedes-exhibitions.de</t>
        </is>
      </c>
      <c r="K44" s="3" t="inlineStr">
        <is>
          <t>https://archimedes-exhibitions.de</t>
        </is>
      </c>
      <c r="L44" s="2" t="inlineStr">
        <is>
          <t>03-germany.md</t>
        </is>
      </c>
      <c r="M44" s="4" t="inlineStr"/>
      <c r="N44" s="4" t="inlineStr"/>
      <c r="O44" s="4" t="inlineStr"/>
    </row>
    <row r="45">
      <c r="A45" s="2" t="inlineStr">
        <is>
          <t>DE-05</t>
        </is>
      </c>
      <c r="B45" s="2" t="inlineStr">
        <is>
          <t>Германия</t>
        </is>
      </c>
      <c r="C45" s="2" t="inlineStr">
        <is>
          <t>Kurt Hüttinger GmbH &amp; Co. KG</t>
        </is>
      </c>
      <c r="D45" s="2" t="inlineStr">
        <is>
          <t>Hüttinger Interactive Exhibitions</t>
        </is>
      </c>
      <c r="E45" s="2" t="inlineStr">
        <is>
          <t>Germany</t>
        </is>
      </c>
      <c r="F45" s="2" t="inlineStr">
        <is>
          <t>Schwaig/Nuremberg</t>
        </is>
      </c>
      <c r="G45" s="2" t="inlineStr">
        <is>
          <t>Производитель (покупка)</t>
        </is>
      </c>
      <c r="H45" s="2" t="inlineStr">
        <is>
          <t>MEDIUM</t>
        </is>
      </c>
      <c r="I45" s="2" t="inlineStr">
        <is>
          <t>КП на 3 флагманских + 10 станций</t>
        </is>
      </c>
      <c r="J45" s="2" t="inlineStr">
        <is>
          <t>info@huettinger.de</t>
        </is>
      </c>
      <c r="K45" s="3" t="inlineStr">
        <is>
          <t>https://huettinger.de</t>
        </is>
      </c>
      <c r="L45" s="2" t="inlineStr">
        <is>
          <t>03-germany.md</t>
        </is>
      </c>
      <c r="M45" s="4" t="inlineStr"/>
      <c r="N45" s="4" t="inlineStr"/>
      <c r="O45" s="4" t="inlineStr"/>
    </row>
    <row r="46">
      <c r="A46" s="2" t="inlineStr">
        <is>
          <t>DE-08</t>
        </is>
      </c>
      <c r="B46" s="2" t="inlineStr">
        <is>
          <t>Германия</t>
        </is>
      </c>
      <c r="C46" s="2" t="inlineStr">
        <is>
          <t>GIZ Uzbekistan</t>
        </is>
      </c>
      <c r="D46" s="2" t="inlineStr">
        <is>
          <t>GIZ</t>
        </is>
      </c>
      <c r="E46" s="2" t="inlineStr">
        <is>
          <t>Uzbekistan (German agency)</t>
        </is>
      </c>
      <c r="F46" s="2" t="inlineStr">
        <is>
          <t>Tashkent</t>
        </is>
      </c>
      <c r="G46" s="2" t="inlineStr">
        <is>
          <t>Госорг./популяризация</t>
        </is>
      </c>
      <c r="H46" s="2" t="inlineStr">
        <is>
          <t>MEDIUM</t>
        </is>
      </c>
      <c r="I46" s="2" t="inlineStr">
        <is>
          <t>Модуль «Зелёная энергия» для школьников</t>
        </is>
      </c>
      <c r="J46" s="2" t="inlineStr">
        <is>
          <t>giz-usbekistan@giz.de</t>
        </is>
      </c>
      <c r="K46" s="3" t="inlineStr">
        <is>
          <t>https://giz.de</t>
        </is>
      </c>
      <c r="L46" s="2" t="inlineStr">
        <is>
          <t>03-germany.md</t>
        </is>
      </c>
      <c r="M46" s="4" t="inlineStr"/>
      <c r="N46" s="4" t="inlineStr"/>
      <c r="O46" s="4" t="inlineStr"/>
    </row>
    <row r="47">
      <c r="A47" s="2" t="inlineStr">
        <is>
          <t>DE-10</t>
        </is>
      </c>
      <c r="B47" s="2" t="inlineStr">
        <is>
          <t>Германия</t>
        </is>
      </c>
      <c r="C47" s="2" t="inlineStr">
        <is>
          <t>CLAAS — Uz CLAAS Agro LLC</t>
        </is>
      </c>
      <c r="D47" s="2" t="inlineStr">
        <is>
          <t>Uz CLAAS Agro</t>
        </is>
      </c>
      <c r="E47" s="2" t="inlineStr">
        <is>
          <t>Uzbekistan (German company)</t>
        </is>
      </c>
      <c r="F47" s="2" t="inlineStr">
        <is>
          <t>Tashkent</t>
        </is>
      </c>
      <c r="G47" s="2" t="inlineStr">
        <is>
          <t>Спонсор/донор</t>
        </is>
      </c>
      <c r="H47" s="2" t="inlineStr">
        <is>
          <t>MEDIUM</t>
        </is>
      </c>
      <c r="I47" s="2" t="inlineStr">
        <is>
          <t>Модель/разрез узла комбайна; спонсорство (тел. +998 78 122-04-21)</t>
        </is>
      </c>
      <c r="J47" s="2" t="inlineStr">
        <is>
          <t>не опубликован — см. карточку</t>
        </is>
      </c>
      <c r="K47" s="3" t="inlineStr">
        <is>
          <t>https://claas.com</t>
        </is>
      </c>
      <c r="L47" s="2" t="inlineStr">
        <is>
          <t>03-germany.md</t>
        </is>
      </c>
      <c r="M47" s="4" t="inlineStr"/>
      <c r="N47" s="4" t="inlineStr"/>
      <c r="O47" s="4" t="inlineStr"/>
    </row>
    <row r="48">
      <c r="A48" s="2" t="inlineStr">
        <is>
          <t>UK-03</t>
        </is>
      </c>
      <c r="B48" s="2" t="inlineStr">
        <is>
          <t>Великобритания</t>
        </is>
      </c>
      <c r="C48" s="2" t="inlineStr">
        <is>
          <t>British Council Uzbekistan</t>
        </is>
      </c>
      <c r="D48" s="2" t="inlineStr">
        <is>
          <t>British Council</t>
        </is>
      </c>
      <c r="E48" s="2" t="inlineStr">
        <is>
          <t>Uzbekistan (UK agency)</t>
        </is>
      </c>
      <c r="F48" s="2" t="inlineStr">
        <is>
          <t>Tashkent</t>
        </is>
      </c>
      <c r="G48" s="2" t="inlineStr">
        <is>
          <t>Госорг./популяризация</t>
        </is>
      </c>
      <c r="H48" s="2" t="inlineStr">
        <is>
          <t>MEDIUM</t>
        </is>
      </c>
      <c r="I48" s="2" t="inlineStr">
        <is>
          <t>Софинансирование британской выставки/лекций</t>
        </is>
      </c>
      <c r="J48" s="2" t="inlineStr">
        <is>
          <t>info@britishcouncil.uz</t>
        </is>
      </c>
      <c r="K48" s="3" t="inlineStr">
        <is>
          <t>https://britishcouncil.uz</t>
        </is>
      </c>
      <c r="L48" s="2" t="inlineStr">
        <is>
          <t>03-uk.md</t>
        </is>
      </c>
      <c r="M48" s="4" t="inlineStr"/>
      <c r="N48" s="4" t="inlineStr"/>
      <c r="O48" s="4" t="inlineStr"/>
    </row>
    <row r="49">
      <c r="A49" s="2" t="inlineStr">
        <is>
          <t>UK-07</t>
        </is>
      </c>
      <c r="B49" s="2" t="inlineStr">
        <is>
          <t>Великобритания</t>
        </is>
      </c>
      <c r="C49" s="2" t="inlineStr">
        <is>
          <t>Science Projects</t>
        </is>
      </c>
      <c r="D49" s="2" t="inlineStr">
        <is>
          <t>Science Projects</t>
        </is>
      </c>
      <c r="E49" s="2" t="inlineStr">
        <is>
          <t>United Kingdom</t>
        </is>
      </c>
      <c r="F49" s="2" t="inlineStr">
        <is>
          <t>Basingstoke</t>
        </is>
      </c>
      <c r="G49" s="2" t="inlineStr">
        <is>
          <t>Передвижные выставки, Производитель (покупка)</t>
        </is>
      </c>
      <c r="H49" s="2" t="inlineStr">
        <is>
          <t>MEDIUM</t>
        </is>
      </c>
      <c r="I49" s="2" t="inlineStr">
        <is>
          <t>Аренда ElectricityWorks/LightWorks</t>
        </is>
      </c>
      <c r="J49" s="2" t="inlineStr">
        <is>
          <t>info@science-projects.org</t>
        </is>
      </c>
      <c r="K49" s="3" t="inlineStr">
        <is>
          <t>https://science-projects.org</t>
        </is>
      </c>
      <c r="L49" s="2" t="inlineStr">
        <is>
          <t>03-uk.md</t>
        </is>
      </c>
      <c r="M49" s="4" t="inlineStr"/>
      <c r="N49" s="4" t="inlineStr"/>
      <c r="O49" s="4" t="inlineStr"/>
    </row>
    <row r="50">
      <c r="A50" s="2" t="inlineStr">
        <is>
          <t>UK-08</t>
        </is>
      </c>
      <c r="B50" s="2" t="inlineStr">
        <is>
          <t>Великобритания</t>
        </is>
      </c>
      <c r="C50" s="2" t="inlineStr">
        <is>
          <t>National Railway Museum (Science Museum Group)</t>
        </is>
      </c>
      <c r="D50" s="2" t="inlineStr">
        <is>
          <t>National Railway Museum</t>
        </is>
      </c>
      <c r="E50" s="2" t="inlineStr">
        <is>
          <t>United Kingdom</t>
        </is>
      </c>
      <c r="F50" s="2" t="inlineStr">
        <is>
          <t>York</t>
        </is>
      </c>
      <c r="G50" s="2" t="inlineStr">
        <is>
          <t>Отраслевой музей</t>
        </is>
      </c>
      <c r="H50" s="2" t="inlineStr">
        <is>
          <t>MEDIUM</t>
        </is>
      </c>
      <c r="I50" s="2" t="inlineStr">
        <is>
          <t>Консультации; условия международного займа</t>
        </is>
      </c>
      <c r="J50" s="2" t="inlineStr">
        <is>
          <t>Group.Registration@sciencemuseum.ac.uk</t>
        </is>
      </c>
      <c r="K50" s="3" t="inlineStr">
        <is>
          <t>https://railwaymuseum.org.uk</t>
        </is>
      </c>
      <c r="L50" s="2" t="inlineStr">
        <is>
          <t>03-uk.md</t>
        </is>
      </c>
      <c r="M50" s="4" t="inlineStr"/>
      <c r="N50" s="4" t="inlineStr"/>
      <c r="O50" s="4" t="inlineStr"/>
    </row>
    <row r="51">
      <c r="A51" s="2" t="inlineStr">
        <is>
          <t>IT-02</t>
        </is>
      </c>
      <c r="B51" s="2" t="inlineStr">
        <is>
          <t>Италия</t>
        </is>
      </c>
      <c r="C51" s="2" t="inlineStr">
        <is>
          <t>Politecnico di Torino</t>
        </is>
      </c>
      <c r="D51" s="2" t="inlineStr">
        <is>
          <t>Politecnico di Torino</t>
        </is>
      </c>
      <c r="E51" s="2" t="inlineStr">
        <is>
          <t>Italy</t>
        </is>
      </c>
      <c r="F51" s="2" t="inlineStr">
        <is>
          <t>Turin</t>
        </is>
      </c>
      <c r="G51" s="2" t="inlineStr">
        <is>
          <t>Госорг./популяризация</t>
        </is>
      </c>
      <c r="H51" s="2" t="inlineStr">
        <is>
          <t>MEDIUM</t>
        </is>
      </c>
      <c r="I51" s="2" t="inlineStr">
        <is>
          <t>Консультации по автоинженерии; лекции</t>
        </is>
      </c>
      <c r="J51" s="2" t="inlineStr">
        <is>
          <t>не опубликован — см. карточку</t>
        </is>
      </c>
      <c r="K51" s="3" t="inlineStr">
        <is>
          <t>https://polito.it</t>
        </is>
      </c>
      <c r="L51" s="2" t="inlineStr">
        <is>
          <t>03-italy.md</t>
        </is>
      </c>
      <c r="M51" s="4" t="inlineStr"/>
      <c r="N51" s="4" t="inlineStr"/>
      <c r="O51" s="4" t="inlineStr"/>
    </row>
    <row r="52">
      <c r="A52" s="2" t="inlineStr">
        <is>
          <t>IT-03</t>
        </is>
      </c>
      <c r="B52" s="2" t="inlineStr">
        <is>
          <t>Италия</t>
        </is>
      </c>
      <c r="C52" s="2" t="inlineStr">
        <is>
          <t>Leonardo3</t>
        </is>
      </c>
      <c r="D52" s="2" t="inlineStr">
        <is>
          <t>Leonardo3</t>
        </is>
      </c>
      <c r="E52" s="2" t="inlineStr">
        <is>
          <t>Italy</t>
        </is>
      </c>
      <c r="F52" s="2" t="inlineStr">
        <is>
          <t>Milan</t>
        </is>
      </c>
      <c r="G52" s="2" t="inlineStr">
        <is>
          <t>Передвижные выставки</t>
        </is>
      </c>
      <c r="H52" s="2" t="inlineStr">
        <is>
          <t>MEDIUM</t>
        </is>
      </c>
      <c r="I52" s="2" t="inlineStr">
        <is>
          <t>Аренда «The World of Leonardo da Vinci»</t>
        </is>
      </c>
      <c r="J52" s="2" t="inlineStr">
        <is>
          <t>info@leonardo3.net</t>
        </is>
      </c>
      <c r="K52" s="3" t="inlineStr">
        <is>
          <t>https://leonardo3.net</t>
        </is>
      </c>
      <c r="L52" s="2" t="inlineStr">
        <is>
          <t>03-italy.md</t>
        </is>
      </c>
      <c r="M52" s="4" t="inlineStr"/>
      <c r="N52" s="4" t="inlineStr"/>
      <c r="O52" s="4" t="inlineStr"/>
    </row>
    <row r="53">
      <c r="A53" s="2" t="inlineStr">
        <is>
          <t>IT-04</t>
        </is>
      </c>
      <c r="B53" s="2" t="inlineStr">
        <is>
          <t>Италия</t>
        </is>
      </c>
      <c r="C53" s="2" t="inlineStr">
        <is>
          <t>Museo Nazionale Scienza e Tecnologia Leonardo da Vinci</t>
        </is>
      </c>
      <c r="D53" s="2" t="inlineStr">
        <is>
          <t>Museo Nazionale Scienza e Tecnologia</t>
        </is>
      </c>
      <c r="E53" s="2" t="inlineStr">
        <is>
          <t>Italy</t>
        </is>
      </c>
      <c r="F53" s="2" t="inlineStr">
        <is>
          <t>Milan</t>
        </is>
      </c>
      <c r="G53" s="2" t="inlineStr">
        <is>
          <t>Отраслевой музей, Передвижные выставки</t>
        </is>
      </c>
      <c r="H53" s="2" t="inlineStr">
        <is>
          <t>MEDIUM</t>
        </is>
      </c>
      <c r="I53" s="2" t="inlineStr">
        <is>
          <t>Консультации; передвижная выставка; стажировка</t>
        </is>
      </c>
      <c r="J53" s="2" t="inlineStr">
        <is>
          <t>info@museoscienza.it</t>
        </is>
      </c>
      <c r="K53" s="3" t="inlineStr">
        <is>
          <t>https://museoscienza.org</t>
        </is>
      </c>
      <c r="L53" s="2" t="inlineStr">
        <is>
          <t>03-italy.md</t>
        </is>
      </c>
      <c r="M53" s="4" t="inlineStr"/>
      <c r="N53" s="4" t="inlineStr"/>
      <c r="O53" s="4" t="inlineStr"/>
    </row>
    <row r="54">
      <c r="A54" s="2" t="inlineStr">
        <is>
          <t>IT-08</t>
        </is>
      </c>
      <c r="B54" s="2" t="inlineStr">
        <is>
          <t>Италия</t>
        </is>
      </c>
      <c r="C54" s="2" t="inlineStr">
        <is>
          <t>Embassy of Italy in Tashkent</t>
        </is>
      </c>
      <c r="D54" s="2" t="inlineStr">
        <is>
          <t>Ambasciata d'Italia a Tashkent</t>
        </is>
      </c>
      <c r="E54" s="2" t="inlineStr">
        <is>
          <t>Uzbekistan (Italian embassy)</t>
        </is>
      </c>
      <c r="F54" s="2" t="inlineStr">
        <is>
          <t>Tashkent</t>
        </is>
      </c>
      <c r="G54" s="2" t="inlineStr">
        <is>
          <t>Госорг./популяризация</t>
        </is>
      </c>
      <c r="H54" s="2" t="inlineStr">
        <is>
          <t>MEDIUM</t>
        </is>
      </c>
      <c r="I54" s="2" t="inlineStr">
        <is>
          <t>Содействие привозу итальянских выставок</t>
        </is>
      </c>
      <c r="J54" s="2" t="inlineStr">
        <is>
          <t>segreteria.tashkent@esteri.it</t>
        </is>
      </c>
      <c r="K54" s="3" t="inlineStr">
        <is>
          <t>https://ambtashkent.esteri.it</t>
        </is>
      </c>
      <c r="L54" s="2" t="inlineStr">
        <is>
          <t>03-italy.md</t>
        </is>
      </c>
      <c r="M54" s="4" t="inlineStr"/>
      <c r="N54" s="4" t="inlineStr"/>
      <c r="O54" s="4" t="inlineStr"/>
    </row>
    <row r="55">
      <c r="A55" s="2" t="inlineStr">
        <is>
          <t>CN-09</t>
        </is>
      </c>
      <c r="B55" s="2" t="inlineStr">
        <is>
          <t>Китай</t>
        </is>
      </c>
      <c r="C55" s="2" t="inlineStr">
        <is>
          <t>Hong Kong Science Museum (LCSD)</t>
        </is>
      </c>
      <c r="D55" s="2" t="inlineStr">
        <is>
          <t>香港科學館</t>
        </is>
      </c>
      <c r="E55" s="2" t="inlineStr">
        <is>
          <t>China (Hong Kong SAR)</t>
        </is>
      </c>
      <c r="F55" s="2" t="inlineStr">
        <is>
          <t>Hong Kong</t>
        </is>
      </c>
      <c r="G55" s="2" t="inlineStr">
        <is>
          <t>Передача снятых экспонатов</t>
        </is>
      </c>
      <c r="H55" s="2" t="inlineStr">
        <is>
          <t>LOW</t>
        </is>
      </c>
      <c r="I55" s="2" t="inlineStr">
        <is>
          <t>Судьба 38 заменённых физических экспонатов; передача</t>
        </is>
      </c>
      <c r="J55" s="2" t="inlineStr">
        <is>
          <t>enquiries@hk.science.museum</t>
        </is>
      </c>
      <c r="K55" s="3" t="inlineStr">
        <is>
          <t>https://hk.science.museum</t>
        </is>
      </c>
      <c r="L55" s="2" t="inlineStr">
        <is>
          <t>01-china.md</t>
        </is>
      </c>
      <c r="M55" s="4" t="inlineStr"/>
      <c r="N55" s="4" t="inlineStr"/>
      <c r="O55" s="4" t="inlineStr"/>
    </row>
    <row r="56">
      <c r="A56" s="2" t="inlineStr">
        <is>
          <t>CN-10</t>
        </is>
      </c>
      <c r="B56" s="2" t="inlineStr">
        <is>
          <t>Китай</t>
        </is>
      </c>
      <c r="C56" s="2" t="inlineStr">
        <is>
          <t>Macao Science Center</t>
        </is>
      </c>
      <c r="D56" s="2" t="inlineStr">
        <is>
          <t>澳門科學館</t>
        </is>
      </c>
      <c r="E56" s="2" t="inlineStr">
        <is>
          <t>China (Macao SAR)</t>
        </is>
      </c>
      <c r="F56" s="2" t="inlineStr">
        <is>
          <t>Macao</t>
        </is>
      </c>
      <c r="G56" s="2" t="inlineStr">
        <is>
          <t>Передвижные выставки</t>
        </is>
      </c>
      <c r="H56" s="2" t="inlineStr">
        <is>
          <t>LOW</t>
        </is>
      </c>
      <c r="I56" s="2" t="inlineStr">
        <is>
          <t>Аренда выставок; контакты подрядчиков</t>
        </is>
      </c>
      <c r="J56" s="2" t="inlineStr">
        <is>
          <t>mfhall@msc.org.mo</t>
        </is>
      </c>
      <c r="K56" s="3" t="inlineStr">
        <is>
          <t>https://msc.org.mo</t>
        </is>
      </c>
      <c r="L56" s="2" t="inlineStr">
        <is>
          <t>01-china.md</t>
        </is>
      </c>
      <c r="M56" s="4" t="inlineStr"/>
      <c r="N56" s="4" t="inlineStr"/>
      <c r="O56" s="4" t="inlineStr"/>
    </row>
    <row r="57">
      <c r="A57" s="2" t="inlineStr">
        <is>
          <t>CN-11</t>
        </is>
      </c>
      <c r="B57" s="2" t="inlineStr">
        <is>
          <t>Китай</t>
        </is>
      </c>
      <c r="C57" s="2" t="inlineStr">
        <is>
          <t>Shanghai Auto Museum</t>
        </is>
      </c>
      <c r="D57" s="2" t="inlineStr">
        <is>
          <t>上海汽车博物馆</t>
        </is>
      </c>
      <c r="E57" s="2" t="inlineStr">
        <is>
          <t>China</t>
        </is>
      </c>
      <c r="F57" s="2" t="inlineStr">
        <is>
          <t>Shanghai</t>
        </is>
      </c>
      <c r="G57" s="2" t="inlineStr">
        <is>
          <t>Отраслевой музей</t>
        </is>
      </c>
      <c r="H57" s="2" t="inlineStr">
        <is>
          <t>LOW</t>
        </is>
      </c>
      <c r="I57" s="2" t="inlineStr">
        <is>
          <t>Консультации по автозалу; совместная выставка</t>
        </is>
      </c>
      <c r="J57" s="2" t="inlineStr">
        <is>
          <t>Info@shautomuseum.com</t>
        </is>
      </c>
      <c r="K57" s="3" t="inlineStr">
        <is>
          <t>https://shautomuseum.com</t>
        </is>
      </c>
      <c r="L57" s="2" t="inlineStr">
        <is>
          <t>01-china.md</t>
        </is>
      </c>
      <c r="M57" s="4" t="inlineStr"/>
      <c r="N57" s="4" t="inlineStr"/>
      <c r="O57" s="4" t="inlineStr"/>
    </row>
    <row r="58">
      <c r="A58" s="2" t="inlineStr">
        <is>
          <t>CN-12</t>
        </is>
      </c>
      <c r="B58" s="2" t="inlineStr">
        <is>
          <t>Китай</t>
        </is>
      </c>
      <c r="C58" s="2" t="inlineStr">
        <is>
          <t>Beijing Auto Museum</t>
        </is>
      </c>
      <c r="D58" s="2" t="inlineStr">
        <is>
          <t>北京汽车博物馆</t>
        </is>
      </c>
      <c r="E58" s="2" t="inlineStr">
        <is>
          <t>China</t>
        </is>
      </c>
      <c r="F58" s="2" t="inlineStr">
        <is>
          <t>Beijing</t>
        </is>
      </c>
      <c r="G58" s="2" t="inlineStr">
        <is>
          <t>Отраслевой музей</t>
        </is>
      </c>
      <c r="H58" s="2" t="inlineStr">
        <is>
          <t>LOW</t>
        </is>
      </c>
      <c r="I58" s="2" t="inlineStr">
        <is>
          <t>Совместная выставка; консультации</t>
        </is>
      </c>
      <c r="J58" s="2" t="inlineStr">
        <is>
          <t>не опубликован — см. карточку</t>
        </is>
      </c>
      <c r="K58" s="2" t="inlineStr"/>
      <c r="L58" s="2" t="inlineStr">
        <is>
          <t>01-china.md</t>
        </is>
      </c>
      <c r="M58" s="4" t="inlineStr"/>
      <c r="N58" s="4" t="inlineStr"/>
      <c r="O58" s="4" t="inlineStr"/>
    </row>
    <row r="59">
      <c r="A59" s="2" t="inlineStr">
        <is>
          <t>CN-13</t>
        </is>
      </c>
      <c r="B59" s="2" t="inlineStr">
        <is>
          <t>Китай</t>
        </is>
      </c>
      <c r="C59" s="2" t="inlineStr">
        <is>
          <t>China Railway Museum</t>
        </is>
      </c>
      <c r="D59" s="2" t="inlineStr">
        <is>
          <t>中国铁道博物馆</t>
        </is>
      </c>
      <c r="E59" s="2" t="inlineStr">
        <is>
          <t>China</t>
        </is>
      </c>
      <c r="F59" s="2" t="inlineStr">
        <is>
          <t>Beijing</t>
        </is>
      </c>
      <c r="G59" s="2" t="inlineStr">
        <is>
          <t>Отраслевой музей</t>
        </is>
      </c>
      <c r="H59" s="2" t="inlineStr">
        <is>
          <t>LOW</t>
        </is>
      </c>
      <c r="I59" s="2" t="inlineStr">
        <is>
          <t>Консультации по ж/д экспозиции</t>
        </is>
      </c>
      <c r="J59" s="2" t="inlineStr">
        <is>
          <t>не опубликован — см. карточку</t>
        </is>
      </c>
      <c r="K59" s="2" t="inlineStr"/>
      <c r="L59" s="2" t="inlineStr">
        <is>
          <t>01-china.md</t>
        </is>
      </c>
      <c r="M59" s="4" t="inlineStr"/>
      <c r="N59" s="4" t="inlineStr"/>
      <c r="O59" s="4" t="inlineStr"/>
    </row>
    <row r="60">
      <c r="A60" s="2" t="inlineStr">
        <is>
          <t>CN-14</t>
        </is>
      </c>
      <c r="B60" s="2" t="inlineStr">
        <is>
          <t>Китай</t>
        </is>
      </c>
      <c r="C60" s="2" t="inlineStr">
        <is>
          <t>Beihang Aviation and Aerospace Museum</t>
        </is>
      </c>
      <c r="D60" s="2" t="inlineStr">
        <is>
          <t>北京航空航天博物馆</t>
        </is>
      </c>
      <c r="E60" s="2" t="inlineStr">
        <is>
          <t>China</t>
        </is>
      </c>
      <c r="F60" s="2" t="inlineStr">
        <is>
          <t>Beijing</t>
        </is>
      </c>
      <c r="G60" s="2" t="inlineStr">
        <is>
          <t>Отраслевой музей</t>
        </is>
      </c>
      <c r="H60" s="2" t="inlineStr">
        <is>
          <t>LOW</t>
        </is>
      </c>
      <c r="I60" s="2" t="inlineStr">
        <is>
          <t>Консультации по авиаэкспозиции; образовательные программы</t>
        </is>
      </c>
      <c r="J60" s="2" t="inlineStr">
        <is>
          <t>international@buaa.edu.cn</t>
        </is>
      </c>
      <c r="K60" s="3" t="inlineStr">
        <is>
          <t>https://buaa.edu.cn</t>
        </is>
      </c>
      <c r="L60" s="2" t="inlineStr">
        <is>
          <t>01-china.md</t>
        </is>
      </c>
      <c r="M60" s="4" t="inlineStr"/>
      <c r="N60" s="4" t="inlineStr"/>
      <c r="O60" s="4" t="inlineStr"/>
    </row>
    <row r="61">
      <c r="A61" s="2" t="inlineStr">
        <is>
          <t>CN-15</t>
        </is>
      </c>
      <c r="B61" s="2" t="inlineStr">
        <is>
          <t>Китай</t>
        </is>
      </c>
      <c r="C61" s="2" t="inlineStr">
        <is>
          <t>Macao Grand Prix Museum</t>
        </is>
      </c>
      <c r="D61" s="2" t="inlineStr">
        <is>
          <t>澳門大賽車博物館</t>
        </is>
      </c>
      <c r="E61" s="2" t="inlineStr">
        <is>
          <t>China (Macao SAR)</t>
        </is>
      </c>
      <c r="F61" s="2" t="inlineStr">
        <is>
          <t>Macao</t>
        </is>
      </c>
      <c r="G61" s="2" t="inlineStr">
        <is>
          <t>Отраслевой музей</t>
        </is>
      </c>
      <c r="H61" s="2" t="inlineStr">
        <is>
          <t>LOW</t>
        </is>
      </c>
      <c r="I61" s="2" t="inlineStr">
        <is>
          <t>Консультации по симуляторам/разрезам</t>
        </is>
      </c>
      <c r="J61" s="2" t="inlineStr">
        <is>
          <t>mgpm@macaotourism.gov.mo</t>
        </is>
      </c>
      <c r="K61" s="3" t="inlineStr">
        <is>
          <t>https://mgpm.macaotourism.gov.mo</t>
        </is>
      </c>
      <c r="L61" s="2" t="inlineStr">
        <is>
          <t>01-china.md</t>
        </is>
      </c>
      <c r="M61" s="4" t="inlineStr"/>
      <c r="N61" s="4" t="inlineStr"/>
      <c r="O61" s="4" t="inlineStr"/>
    </row>
    <row r="62">
      <c r="A62" s="2" t="inlineStr">
        <is>
          <t>CN-16</t>
        </is>
      </c>
      <c r="B62" s="2" t="inlineStr">
        <is>
          <t>Китай</t>
        </is>
      </c>
      <c r="C62" s="2" t="inlineStr">
        <is>
          <t>Tianjin Science and Technology Museum</t>
        </is>
      </c>
      <c r="D62" s="2" t="inlineStr">
        <is>
          <t>天津科学技术馆</t>
        </is>
      </c>
      <c r="E62" s="2" t="inlineStr">
        <is>
          <t>China</t>
        </is>
      </c>
      <c r="F62" s="2" t="inlineStr">
        <is>
          <t>Tianjin</t>
        </is>
      </c>
      <c r="G62" s="2" t="inlineStr">
        <is>
          <t>Передвижные выставки</t>
        </is>
      </c>
      <c r="H62" s="2" t="inlineStr">
        <is>
          <t>LOW</t>
        </is>
      </c>
      <c r="I62" s="2" t="inlineStr">
        <is>
          <t>Обмен выставками (побратимы Тяньцзинь—Ташкент)</t>
        </is>
      </c>
      <c r="J62" s="2" t="inlineStr">
        <is>
          <t>не опубликован — см. карточку</t>
        </is>
      </c>
      <c r="K62" s="3" t="inlineStr">
        <is>
          <t>https://tjstm.org</t>
        </is>
      </c>
      <c r="L62" s="2" t="inlineStr">
        <is>
          <t>01-china.md</t>
        </is>
      </c>
      <c r="M62" s="4" t="inlineStr"/>
      <c r="N62" s="4" t="inlineStr"/>
      <c r="O62" s="4" t="inlineStr"/>
    </row>
    <row r="63">
      <c r="A63" s="2" t="inlineStr">
        <is>
          <t>CN-18</t>
        </is>
      </c>
      <c r="B63" s="2" t="inlineStr">
        <is>
          <t>Китай</t>
        </is>
      </c>
      <c r="C63" s="2" t="inlineStr">
        <is>
          <t>QINGCHUANG (Zigong Qingchuang Technology)</t>
        </is>
      </c>
      <c r="D63" s="2" t="inlineStr">
        <is>
          <t>自贡青创科技</t>
        </is>
      </c>
      <c r="E63" s="2" t="inlineStr">
        <is>
          <t>China</t>
        </is>
      </c>
      <c r="F63" s="2" t="inlineStr">
        <is>
          <t>Zigong</t>
        </is>
      </c>
      <c r="G63" s="2" t="inlineStr">
        <is>
          <t>Производитель (покупка)</t>
        </is>
      </c>
      <c r="H63" s="2" t="inlineStr">
        <is>
          <t>LOW</t>
        </is>
      </c>
      <c r="I63" s="2" t="inlineStr">
        <is>
          <t>Сравнительный прайс</t>
        </is>
      </c>
      <c r="J63" s="2" t="inlineStr">
        <is>
          <t>не опубликован — см. карточку</t>
        </is>
      </c>
      <c r="K63" s="3" t="inlineStr">
        <is>
          <t>https://interactiveexhibit.com</t>
        </is>
      </c>
      <c r="L63" s="2" t="inlineStr">
        <is>
          <t>01-china.md</t>
        </is>
      </c>
      <c r="M63" s="4" t="inlineStr"/>
      <c r="N63" s="4" t="inlineStr"/>
      <c r="O63" s="4" t="inlineStr"/>
    </row>
    <row r="64">
      <c r="A64" s="2" t="inlineStr">
        <is>
          <t>RU-07</t>
        </is>
      </c>
      <c r="B64" s="2" t="inlineStr">
        <is>
          <t>Россия</t>
        </is>
      </c>
      <c r="C64" s="2" t="inlineStr">
        <is>
          <t>Russian Railway Museum (RZD)</t>
        </is>
      </c>
      <c r="D64" s="2" t="inlineStr">
        <is>
          <t>Музей железных дорог России</t>
        </is>
      </c>
      <c r="E64" s="2" t="inlineStr">
        <is>
          <t>Russia</t>
        </is>
      </c>
      <c r="F64" s="2" t="inlineStr">
        <is>
          <t>St Petersburg</t>
        </is>
      </c>
      <c r="G64" s="2" t="inlineStr">
        <is>
          <t>Отраслевой музей</t>
        </is>
      </c>
      <c r="H64" s="2" t="inlineStr">
        <is>
          <t>LOW</t>
        </is>
      </c>
      <c r="I64" s="2" t="inlineStr">
        <is>
          <t>Консультации; выставка «Колея 1520»</t>
        </is>
      </c>
      <c r="J64" s="2" t="inlineStr">
        <is>
          <t>info@rzd-museum.ru</t>
        </is>
      </c>
      <c r="K64" s="3" t="inlineStr">
        <is>
          <t>https://rzd-museum.ru</t>
        </is>
      </c>
      <c r="L64" s="2" t="inlineStr">
        <is>
          <t>03-russia.md</t>
        </is>
      </c>
      <c r="M64" s="4" t="inlineStr"/>
      <c r="N64" s="4" t="inlineStr"/>
      <c r="O64" s="4" t="inlineStr"/>
    </row>
    <row r="65">
      <c r="A65" s="2" t="inlineStr">
        <is>
          <t>RU-08</t>
        </is>
      </c>
      <c r="B65" s="2" t="inlineStr">
        <is>
          <t>Россия</t>
        </is>
      </c>
      <c r="C65" s="2" t="inlineStr">
        <is>
          <t>Moscow Transport Museum</t>
        </is>
      </c>
      <c r="D65" s="2" t="inlineStr">
        <is>
          <t>Музей Транспорта Москвы</t>
        </is>
      </c>
      <c r="E65" s="2" t="inlineStr">
        <is>
          <t>Russia</t>
        </is>
      </c>
      <c r="F65" s="2" t="inlineStr">
        <is>
          <t>Moscow</t>
        </is>
      </c>
      <c r="G65" s="2" t="inlineStr">
        <is>
          <t>Отраслевой музей</t>
        </is>
      </c>
      <c r="H65" s="2" t="inlineStr">
        <is>
          <t>LOW</t>
        </is>
      </c>
      <c r="I65" s="2" t="inlineStr">
        <is>
          <t>Партнёрская выставка о городском транспорте</t>
        </is>
      </c>
      <c r="J65" s="2" t="inlineStr">
        <is>
          <t>partners@mtmuseum.ru</t>
        </is>
      </c>
      <c r="K65" s="3" t="inlineStr">
        <is>
          <t>https://mtmuseum.ru</t>
        </is>
      </c>
      <c r="L65" s="2" t="inlineStr">
        <is>
          <t>03-russia.md</t>
        </is>
      </c>
      <c r="M65" s="4" t="inlineStr"/>
      <c r="N65" s="4" t="inlineStr"/>
      <c r="O65" s="4" t="inlineStr"/>
    </row>
    <row r="66">
      <c r="A66" s="2" t="inlineStr">
        <is>
          <t>TR-04</t>
        </is>
      </c>
      <c r="B66" s="2" t="inlineStr">
        <is>
          <t>Турция</t>
        </is>
      </c>
      <c r="C66" s="2" t="inlineStr">
        <is>
          <t>Rahmi M. Koç Museum</t>
        </is>
      </c>
      <c r="D66" s="2" t="inlineStr">
        <is>
          <t>Rahmi M. Koç Müzesi</t>
        </is>
      </c>
      <c r="E66" s="2" t="inlineStr">
        <is>
          <t>Turkey</t>
        </is>
      </c>
      <c r="F66" s="2" t="inlineStr">
        <is>
          <t>Istanbul</t>
        </is>
      </c>
      <c r="G66" s="2" t="inlineStr">
        <is>
          <t>Отраслевой музей</t>
        </is>
      </c>
      <c r="H66" s="2" t="inlineStr">
        <is>
          <t>LOW</t>
        </is>
      </c>
      <c r="I66" s="2" t="inlineStr">
        <is>
          <t>Консультации по реставрации авто; стажировка; обмен выставками</t>
        </is>
      </c>
      <c r="J66" s="2" t="inlineStr">
        <is>
          <t>msofuoglu@rmk-museum.org.tr</t>
        </is>
      </c>
      <c r="K66" s="3" t="inlineStr">
        <is>
          <t>https://rmk-museum.org.tr</t>
        </is>
      </c>
      <c r="L66" s="2" t="inlineStr">
        <is>
          <t>03-turkey.md</t>
        </is>
      </c>
      <c r="M66" s="4" t="inlineStr"/>
      <c r="N66" s="4" t="inlineStr"/>
      <c r="O66" s="4" t="inlineStr"/>
    </row>
    <row r="67">
      <c r="A67" s="2" t="inlineStr">
        <is>
          <t>TR-06</t>
        </is>
      </c>
      <c r="B67" s="2" t="inlineStr">
        <is>
          <t>Турция</t>
        </is>
      </c>
      <c r="C67" s="2" t="inlineStr">
        <is>
          <t>Konya Science Centre</t>
        </is>
      </c>
      <c r="D67" s="2" t="inlineStr">
        <is>
          <t>Konya Bilim Merkezi</t>
        </is>
      </c>
      <c r="E67" s="2" t="inlineStr">
        <is>
          <t>Turkey</t>
        </is>
      </c>
      <c r="F67" s="2" t="inlineStr">
        <is>
          <t>Konya</t>
        </is>
      </c>
      <c r="G67" s="2" t="inlineStr">
        <is>
          <t>Передвижные выставки</t>
        </is>
      </c>
      <c r="H67" s="2" t="inlineStr">
        <is>
          <t>LOW</t>
        </is>
      </c>
      <c r="I67" s="2" t="inlineStr">
        <is>
          <t>Обмен методиками; стажировка</t>
        </is>
      </c>
      <c r="J67" s="2" t="inlineStr">
        <is>
          <t>bilgi@kbm.org.tr</t>
        </is>
      </c>
      <c r="K67" s="3" t="inlineStr">
        <is>
          <t>https://kbm.org.tr</t>
        </is>
      </c>
      <c r="L67" s="2" t="inlineStr">
        <is>
          <t>03-turkey.md</t>
        </is>
      </c>
      <c r="M67" s="4" t="inlineStr"/>
      <c r="N67" s="4" t="inlineStr"/>
      <c r="O67" s="4" t="inlineStr"/>
    </row>
    <row r="68">
      <c r="A68" s="2" t="inlineStr">
        <is>
          <t>DE-03</t>
        </is>
      </c>
      <c r="B68" s="2" t="inlineStr">
        <is>
          <t>Германия</t>
        </is>
      </c>
      <c r="C68" s="2" t="inlineStr">
        <is>
          <t>Max Planck Society — Science Tunnel</t>
        </is>
      </c>
      <c r="D68" s="2" t="inlineStr">
        <is>
          <t>Max-Planck-Gesellschaft</t>
        </is>
      </c>
      <c r="E68" s="2" t="inlineStr">
        <is>
          <t>Germany</t>
        </is>
      </c>
      <c r="F68" s="2" t="inlineStr">
        <is>
          <t>Munich</t>
        </is>
      </c>
      <c r="G68" s="2" t="inlineStr">
        <is>
          <t>Передвижные выставки</t>
        </is>
      </c>
      <c r="H68" s="2" t="inlineStr">
        <is>
          <t>LOW</t>
        </is>
      </c>
      <c r="I68" s="2" t="inlineStr">
        <is>
          <t>Условия показа новой версии Science Tunnel</t>
        </is>
      </c>
      <c r="J68" s="2" t="inlineStr">
        <is>
          <t>не опубликован — см. карточку</t>
        </is>
      </c>
      <c r="K68" s="3" t="inlineStr">
        <is>
          <t>https://mpg.de</t>
        </is>
      </c>
      <c r="L68" s="2" t="inlineStr">
        <is>
          <t>03-germany.md</t>
        </is>
      </c>
      <c r="M68" s="4" t="inlineStr"/>
      <c r="N68" s="4" t="inlineStr"/>
      <c r="O68" s="4" t="inlineStr"/>
    </row>
    <row r="69">
      <c r="A69" s="2" t="inlineStr">
        <is>
          <t>DE-06</t>
        </is>
      </c>
      <c r="B69" s="2" t="inlineStr">
        <is>
          <t>Германия</t>
        </is>
      </c>
      <c r="C69" s="2" t="inlineStr">
        <is>
          <t>Deutscher Museumsbund</t>
        </is>
      </c>
      <c r="D69" s="2" t="inlineStr">
        <is>
          <t>Deutscher Museumsbund</t>
        </is>
      </c>
      <c r="E69" s="2" t="inlineStr">
        <is>
          <t>Germany</t>
        </is>
      </c>
      <c r="F69" s="2" t="inlineStr">
        <is>
          <t>Berlin</t>
        </is>
      </c>
      <c r="G69" s="2" t="inlineStr">
        <is>
          <t>Передача снятых экспонатов, Сеть/ассоциация</t>
        </is>
      </c>
      <c r="H69" s="2" t="inlineStr">
        <is>
          <t>LOW</t>
        </is>
      </c>
      <c r="I69" s="2" t="inlineStr">
        <is>
          <t>Доступ к базе предметов на вывод для зарубежного музея</t>
        </is>
      </c>
      <c r="J69" s="2" t="inlineStr">
        <is>
          <t>office@museumsbund.de</t>
        </is>
      </c>
      <c r="K69" s="3" t="inlineStr">
        <is>
          <t>https://museumsbund.de</t>
        </is>
      </c>
      <c r="L69" s="2" t="inlineStr">
        <is>
          <t>03-germany.md</t>
        </is>
      </c>
      <c r="M69" s="4" t="inlineStr"/>
      <c r="N69" s="4" t="inlineStr"/>
      <c r="O69" s="4" t="inlineStr"/>
    </row>
    <row r="70">
      <c r="A70" s="2" t="inlineStr">
        <is>
          <t>DE-09</t>
        </is>
      </c>
      <c r="B70" s="2" t="inlineStr">
        <is>
          <t>Германия</t>
        </is>
      </c>
      <c r="C70" s="2" t="inlineStr">
        <is>
          <t>iMOVE (BIBB)</t>
        </is>
      </c>
      <c r="D70" s="2" t="inlineStr">
        <is>
          <t>iMOVE</t>
        </is>
      </c>
      <c r="E70" s="2" t="inlineStr">
        <is>
          <t>Germany</t>
        </is>
      </c>
      <c r="F70" s="2" t="inlineStr">
        <is>
          <t>Bonn</t>
        </is>
      </c>
      <c r="G70" s="2" t="inlineStr">
        <is>
          <t>Госорг./популяризация</t>
        </is>
      </c>
      <c r="H70" s="2" t="inlineStr">
        <is>
          <t>LOW</t>
        </is>
      </c>
      <c r="I70" s="2" t="inlineStr">
        <is>
          <t>Немецкие поставщики учебных стендов</t>
        </is>
      </c>
      <c r="J70" s="2" t="inlineStr">
        <is>
          <t>не опубликован — см. карточку</t>
        </is>
      </c>
      <c r="K70" s="3" t="inlineStr">
        <is>
          <t>https://imove-germany.de</t>
        </is>
      </c>
      <c r="L70" s="2" t="inlineStr">
        <is>
          <t>03-germany.md</t>
        </is>
      </c>
      <c r="M70" s="4" t="inlineStr"/>
      <c r="N70" s="4" t="inlineStr"/>
      <c r="O70" s="4" t="inlineStr"/>
    </row>
    <row r="71">
      <c r="A71" s="2" t="inlineStr">
        <is>
          <t>UK-04</t>
        </is>
      </c>
      <c r="B71" s="2" t="inlineStr">
        <is>
          <t>Великобритания</t>
        </is>
      </c>
      <c r="C71" s="2" t="inlineStr">
        <is>
          <t>University of Westminster / WIUT</t>
        </is>
      </c>
      <c r="D71" s="2" t="inlineStr">
        <is>
          <t>WIUT</t>
        </is>
      </c>
      <c r="E71" s="2" t="inlineStr">
        <is>
          <t>Uzbekistan/UK</t>
        </is>
      </c>
      <c r="F71" s="2" t="inlineStr">
        <is>
          <t>Tashkent</t>
        </is>
      </c>
      <c r="G71" s="2" t="inlineStr">
        <is>
          <t>Госорг./популяризация</t>
        </is>
      </c>
      <c r="H71" s="2" t="inlineStr">
        <is>
          <t>LOW</t>
        </is>
      </c>
      <c r="I71" s="2" t="inlineStr">
        <is>
          <t>STEM-мероприятия, студенты-волонтёры</t>
        </is>
      </c>
      <c r="J71" s="2" t="inlineStr">
        <is>
          <t>не опубликован — см. карточку</t>
        </is>
      </c>
      <c r="K71" s="3" t="inlineStr">
        <is>
          <t>https://westminster.ac.uk</t>
        </is>
      </c>
      <c r="L71" s="2" t="inlineStr">
        <is>
          <t>03-uk.md</t>
        </is>
      </c>
      <c r="M71" s="4" t="inlineStr"/>
      <c r="N71" s="4" t="inlineStr"/>
      <c r="O71" s="4" t="inlineStr"/>
    </row>
    <row r="72">
      <c r="A72" s="2" t="inlineStr">
        <is>
          <t>UK-05</t>
        </is>
      </c>
      <c r="B72" s="2" t="inlineStr">
        <is>
          <t>Великобритания</t>
        </is>
      </c>
      <c r="C72" s="2" t="inlineStr">
        <is>
          <t>Wellcome Trust</t>
        </is>
      </c>
      <c r="D72" s="2" t="inlineStr">
        <is>
          <t>Wellcome</t>
        </is>
      </c>
      <c r="E72" s="2" t="inlineStr">
        <is>
          <t>United Kingdom</t>
        </is>
      </c>
      <c r="F72" s="2" t="inlineStr">
        <is>
          <t>London</t>
        </is>
      </c>
      <c r="G72" s="2" t="inlineStr">
        <is>
          <t>Спонсор/донор</t>
        </is>
      </c>
      <c r="H72" s="2" t="inlineStr">
        <is>
          <t>LOW</t>
        </is>
      </c>
      <c r="I72" s="2" t="inlineStr">
        <is>
          <t>Условия грантов для зарубежных музеев</t>
        </is>
      </c>
      <c r="J72" s="2" t="inlineStr">
        <is>
          <t>не опубликован — см. карточку</t>
        </is>
      </c>
      <c r="K72" s="3" t="inlineStr">
        <is>
          <t>https://wellcome.org</t>
        </is>
      </c>
      <c r="L72" s="2" t="inlineStr">
        <is>
          <t>03-uk.md</t>
        </is>
      </c>
      <c r="M72" s="4" t="inlineStr"/>
      <c r="N72" s="4" t="inlineStr"/>
      <c r="O72" s="4" t="inlineStr"/>
    </row>
    <row r="73">
      <c r="A73" s="2" t="inlineStr">
        <is>
          <t>UK-06</t>
        </is>
      </c>
      <c r="B73" s="2" t="inlineStr">
        <is>
          <t>Великобритания</t>
        </is>
      </c>
      <c r="C73" s="2" t="inlineStr">
        <is>
          <t>London South Bank University</t>
        </is>
      </c>
      <c r="D73" s="2" t="inlineStr">
        <is>
          <t>LSBU</t>
        </is>
      </c>
      <c r="E73" s="2" t="inlineStr">
        <is>
          <t>United Kingdom</t>
        </is>
      </c>
      <c r="F73" s="2" t="inlineStr">
        <is>
          <t>London</t>
        </is>
      </c>
      <c r="G73" s="2" t="inlineStr">
        <is>
          <t>Госорг./популяризация</t>
        </is>
      </c>
      <c r="H73" s="2" t="inlineStr">
        <is>
          <t>LOW</t>
        </is>
      </c>
      <c r="I73" s="2" t="inlineStr">
        <is>
          <t>Инженерные мастер-классы</t>
        </is>
      </c>
      <c r="J73" s="2" t="inlineStr">
        <is>
          <t>не опубликован — см. карточку</t>
        </is>
      </c>
      <c r="K73" s="3" t="inlineStr">
        <is>
          <t>https://lsbu.ac.uk</t>
        </is>
      </c>
      <c r="L73" s="2" t="inlineStr">
        <is>
          <t>03-uk.md</t>
        </is>
      </c>
      <c r="M73" s="4" t="inlineStr"/>
      <c r="N73" s="4" t="inlineStr"/>
      <c r="O73" s="4" t="inlineStr"/>
    </row>
    <row r="74">
      <c r="A74" s="2" t="inlineStr">
        <is>
          <t>UK-09</t>
        </is>
      </c>
      <c r="B74" s="2" t="inlineStr">
        <is>
          <t>Великобритания</t>
        </is>
      </c>
      <c r="C74" s="2" t="inlineStr">
        <is>
          <t>Association for Science and Discovery Centres</t>
        </is>
      </c>
      <c r="D74" s="2" t="inlineStr">
        <is>
          <t>ASDC</t>
        </is>
      </c>
      <c r="E74" s="2" t="inlineStr">
        <is>
          <t>United Kingdom</t>
        </is>
      </c>
      <c r="F74" s="2" t="inlineStr">
        <is>
          <t>Bristol</t>
        </is>
      </c>
      <c r="G74" s="2" t="inlineStr">
        <is>
          <t>Сеть/ассоциация</t>
        </is>
      </c>
      <c r="H74" s="2" t="inlineStr">
        <is>
          <t>LOW</t>
        </is>
      </c>
      <c r="I74" s="2" t="inlineStr">
        <is>
          <t>Участие зарубежного центра</t>
        </is>
      </c>
      <c r="J74" s="2" t="inlineStr">
        <is>
          <t>info@sciencecentres.org.uk</t>
        </is>
      </c>
      <c r="K74" s="3" t="inlineStr">
        <is>
          <t>https://sciencecentres.org.uk</t>
        </is>
      </c>
      <c r="L74" s="2" t="inlineStr">
        <is>
          <t>03-uk.md</t>
        </is>
      </c>
      <c r="M74" s="4" t="inlineStr"/>
      <c r="N74" s="4" t="inlineStr"/>
      <c r="O74" s="4" t="inlineStr"/>
    </row>
    <row r="75">
      <c r="A75" s="2" t="inlineStr">
        <is>
          <t>UK-10</t>
        </is>
      </c>
      <c r="B75" s="2" t="inlineStr">
        <is>
          <t>Великобритания</t>
        </is>
      </c>
      <c r="C75" s="2" t="inlineStr">
        <is>
          <t>British Motor Museum</t>
        </is>
      </c>
      <c r="D75" s="2" t="inlineStr">
        <is>
          <t>British Motor Museum</t>
        </is>
      </c>
      <c r="E75" s="2" t="inlineStr">
        <is>
          <t>United Kingdom</t>
        </is>
      </c>
      <c r="F75" s="2" t="inlineStr">
        <is>
          <t>Gaydon</t>
        </is>
      </c>
      <c r="G75" s="2" t="inlineStr">
        <is>
          <t>Отраслевой музей</t>
        </is>
      </c>
      <c r="H75" s="2" t="inlineStr">
        <is>
          <t>LOW</t>
        </is>
      </c>
      <c r="I75" s="2" t="inlineStr">
        <is>
          <t>Консультации по автоколлекциям</t>
        </is>
      </c>
      <c r="J75" s="2" t="inlineStr">
        <is>
          <t>museum@britishmotormuseum.co.uk</t>
        </is>
      </c>
      <c r="K75" s="3" t="inlineStr">
        <is>
          <t>https://britishmotormuseum.co.uk</t>
        </is>
      </c>
      <c r="L75" s="2" t="inlineStr">
        <is>
          <t>03-uk.md</t>
        </is>
      </c>
      <c r="M75" s="4" t="inlineStr"/>
      <c r="N75" s="4" t="inlineStr"/>
      <c r="O75" s="4" t="inlineStr"/>
    </row>
    <row r="76">
      <c r="A76" s="2" t="inlineStr">
        <is>
          <t>IT-05</t>
        </is>
      </c>
      <c r="B76" s="2" t="inlineStr">
        <is>
          <t>Италия</t>
        </is>
      </c>
      <c r="C76" s="2" t="inlineStr">
        <is>
          <t>Ansaldo Energia</t>
        </is>
      </c>
      <c r="D76" s="2" t="inlineStr">
        <is>
          <t>Ansaldo Energia</t>
        </is>
      </c>
      <c r="E76" s="2" t="inlineStr">
        <is>
          <t>Italy</t>
        </is>
      </c>
      <c r="F76" s="2" t="inlineStr">
        <is>
          <t>Genoa</t>
        </is>
      </c>
      <c r="G76" s="2" t="inlineStr">
        <is>
          <t>Спонсор/донор</t>
        </is>
      </c>
      <c r="H76" s="2" t="inlineStr">
        <is>
          <t>LOW</t>
        </is>
      </c>
      <c r="I76" s="2" t="inlineStr">
        <is>
          <t>Спонсорство зала «Энергия»</t>
        </is>
      </c>
      <c r="J76" s="2" t="inlineStr">
        <is>
          <t>не опубликован — см. карточку</t>
        </is>
      </c>
      <c r="K76" s="3" t="inlineStr">
        <is>
          <t>https://ansaldoenergia.com</t>
        </is>
      </c>
      <c r="L76" s="2" t="inlineStr">
        <is>
          <t>03-italy.md</t>
        </is>
      </c>
      <c r="M76" s="4" t="inlineStr"/>
      <c r="N76" s="4" t="inlineStr"/>
      <c r="O76" s="4" t="inlineStr"/>
    </row>
    <row r="77">
      <c r="A77" s="2" t="inlineStr">
        <is>
          <t>IT-06</t>
        </is>
      </c>
      <c r="B77" s="2" t="inlineStr">
        <is>
          <t>Италия</t>
        </is>
      </c>
      <c r="C77" s="2" t="inlineStr">
        <is>
          <t>Danieli</t>
        </is>
      </c>
      <c r="D77" s="2" t="inlineStr">
        <is>
          <t>Danieli</t>
        </is>
      </c>
      <c r="E77" s="2" t="inlineStr">
        <is>
          <t>Italy</t>
        </is>
      </c>
      <c r="F77" s="2" t="inlineStr">
        <is>
          <t>Buttrio</t>
        </is>
      </c>
      <c r="G77" s="2" t="inlineStr">
        <is>
          <t>Спонсор/донор</t>
        </is>
      </c>
      <c r="H77" s="2" t="inlineStr">
        <is>
          <t>LOW</t>
        </is>
      </c>
      <c r="I77" s="2" t="inlineStr">
        <is>
          <t>Интерактив «как делают сталь»</t>
        </is>
      </c>
      <c r="J77" s="2" t="inlineStr">
        <is>
          <t>не опубликован — см. карточку</t>
        </is>
      </c>
      <c r="K77" s="3" t="inlineStr">
        <is>
          <t>https://danieli.com</t>
        </is>
      </c>
      <c r="L77" s="2" t="inlineStr">
        <is>
          <t>03-italy.md</t>
        </is>
      </c>
      <c r="M77" s="4" t="inlineStr"/>
      <c r="N77" s="4" t="inlineStr"/>
      <c r="O77" s="4" t="inlineStr"/>
    </row>
    <row r="78">
      <c r="A78" s="2" t="inlineStr">
        <is>
          <t>IT-07</t>
        </is>
      </c>
      <c r="B78" s="2" t="inlineStr">
        <is>
          <t>Италия</t>
        </is>
      </c>
      <c r="C78" s="2" t="inlineStr">
        <is>
          <t>Consiglio Nazionale delle Ricerche (CNR)</t>
        </is>
      </c>
      <c r="D78" s="2" t="inlineStr">
        <is>
          <t>CNR</t>
        </is>
      </c>
      <c r="E78" s="2" t="inlineStr">
        <is>
          <t>Italy</t>
        </is>
      </c>
      <c r="F78" s="2" t="inlineStr">
        <is>
          <t>Rome</t>
        </is>
      </c>
      <c r="G78" s="2" t="inlineStr">
        <is>
          <t>Госорг./популяризация</t>
        </is>
      </c>
      <c r="H78" s="2" t="inlineStr">
        <is>
          <t>LOW</t>
        </is>
      </c>
      <c r="I78" s="2" t="inlineStr">
        <is>
          <t>Научно-популярные лекции</t>
        </is>
      </c>
      <c r="J78" s="2" t="inlineStr">
        <is>
          <t>не опубликован — см. карточку</t>
        </is>
      </c>
      <c r="K78" s="3" t="inlineStr">
        <is>
          <t>https://cnr.it</t>
        </is>
      </c>
      <c r="L78" s="2" t="inlineStr">
        <is>
          <t>03-italy.md</t>
        </is>
      </c>
      <c r="M78" s="4" t="inlineStr"/>
      <c r="N78" s="4" t="inlineStr"/>
      <c r="O78" s="4" t="inlineStr"/>
    </row>
    <row r="79">
      <c r="A79" s="2" t="inlineStr">
        <is>
          <t>IT-09</t>
        </is>
      </c>
      <c r="B79" s="2" t="inlineStr">
        <is>
          <t>Италия</t>
        </is>
      </c>
      <c r="C79" s="2" t="inlineStr">
        <is>
          <t>MAUTO — Museo Nazionale dell'Automobile</t>
        </is>
      </c>
      <c r="D79" s="2" t="inlineStr">
        <is>
          <t>MAUTO</t>
        </is>
      </c>
      <c r="E79" s="2" t="inlineStr">
        <is>
          <t>Italy</t>
        </is>
      </c>
      <c r="F79" s="2" t="inlineStr">
        <is>
          <t>Turin</t>
        </is>
      </c>
      <c r="G79" s="2" t="inlineStr">
        <is>
          <t>Отраслевой музей</t>
        </is>
      </c>
      <c r="H79" s="2" t="inlineStr">
        <is>
          <t>LOW</t>
        </is>
      </c>
      <c r="I79" s="2" t="inlineStr">
        <is>
          <t>Консультации по реставрации; обмен выставками</t>
        </is>
      </c>
      <c r="J79" s="2" t="inlineStr">
        <is>
          <t>info@museoauto.it</t>
        </is>
      </c>
      <c r="K79" s="3" t="inlineStr">
        <is>
          <t>https://museoauto.com</t>
        </is>
      </c>
      <c r="L79" s="2" t="inlineStr">
        <is>
          <t>03-italy.md</t>
        </is>
      </c>
      <c r="M79" s="4" t="inlineStr"/>
      <c r="N79" s="4" t="inlineStr"/>
      <c r="O79" s="4" t="inlineStr"/>
    </row>
    <row r="80">
      <c r="A80" s="2" t="inlineStr">
        <is>
          <t>IT-10</t>
        </is>
      </c>
      <c r="B80" s="2" t="inlineStr">
        <is>
          <t>Италия</t>
        </is>
      </c>
      <c r="C80" s="2" t="inlineStr">
        <is>
          <t>Fondazione FS Italiane — Pietrarsa Railway Museum</t>
        </is>
      </c>
      <c r="D80" s="2" t="inlineStr">
        <is>
          <t>Fondazione FS Italiane</t>
        </is>
      </c>
      <c r="E80" s="2" t="inlineStr">
        <is>
          <t>Italy</t>
        </is>
      </c>
      <c r="F80" s="2" t="inlineStr">
        <is>
          <t>Rome/Naples</t>
        </is>
      </c>
      <c r="G80" s="2" t="inlineStr">
        <is>
          <t>Отраслевой музей</t>
        </is>
      </c>
      <c r="H80" s="2" t="inlineStr">
        <is>
          <t>LOW</t>
        </is>
      </c>
      <c r="I80" s="2" t="inlineStr">
        <is>
          <t>Консультации; ж/д мультимедийная выставка</t>
        </is>
      </c>
      <c r="J80" s="2" t="inlineStr">
        <is>
          <t>museopietrarsa@fondazionefs.it</t>
        </is>
      </c>
      <c r="K80" s="3" t="inlineStr">
        <is>
          <t>https://fondazionefs.it</t>
        </is>
      </c>
      <c r="L80" s="2" t="inlineStr">
        <is>
          <t>03-italy.md</t>
        </is>
      </c>
      <c r="M80" s="4" t="inlineStr"/>
      <c r="N80" s="4" t="inlineStr"/>
      <c r="O80" s="4" t="inlineStr"/>
    </row>
  </sheetData>
  <conditionalFormatting sqref="H2:H80">
    <cfRule type="cellIs" priority="1" operator="equal" dxfId="0">
      <formula>"HIGH"</formula>
    </cfRule>
    <cfRule type="cellIs" priority="2" operator="equal" dxfId="1">
      <formula>"MEDIUM"</formula>
    </cfRule>
    <cfRule type="cellIs" priority="3" operator="equal" dxfId="2">
      <formula>"LOW"</formula>
    </cfRule>
  </conditionalFormatting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60" r:id="rId57"/>
    <hyperlink xmlns:r="http://schemas.openxmlformats.org/officeDocument/2006/relationships" ref="K61" r:id="rId58"/>
    <hyperlink xmlns:r="http://schemas.openxmlformats.org/officeDocument/2006/relationships" ref="K62" r:id="rId59"/>
    <hyperlink xmlns:r="http://schemas.openxmlformats.org/officeDocument/2006/relationships" ref="K63" r:id="rId60"/>
    <hyperlink xmlns:r="http://schemas.openxmlformats.org/officeDocument/2006/relationships" ref="K64" r:id="rId61"/>
    <hyperlink xmlns:r="http://schemas.openxmlformats.org/officeDocument/2006/relationships" ref="K65" r:id="rId62"/>
    <hyperlink xmlns:r="http://schemas.openxmlformats.org/officeDocument/2006/relationships" ref="K66" r:id="rId63"/>
    <hyperlink xmlns:r="http://schemas.openxmlformats.org/officeDocument/2006/relationships" ref="K67" r:id="rId64"/>
    <hyperlink xmlns:r="http://schemas.openxmlformats.org/officeDocument/2006/relationships" ref="K68" r:id="rId65"/>
    <hyperlink xmlns:r="http://schemas.openxmlformats.org/officeDocument/2006/relationships" ref="K69" r:id="rId66"/>
    <hyperlink xmlns:r="http://schemas.openxmlformats.org/officeDocument/2006/relationships" ref="K70" r:id="rId67"/>
    <hyperlink xmlns:r="http://schemas.openxmlformats.org/officeDocument/2006/relationships" ref="K71" r:id="rId68"/>
    <hyperlink xmlns:r="http://schemas.openxmlformats.org/officeDocument/2006/relationships" ref="K72" r:id="rId69"/>
    <hyperlink xmlns:r="http://schemas.openxmlformats.org/officeDocument/2006/relationships" ref="K73" r:id="rId70"/>
    <hyperlink xmlns:r="http://schemas.openxmlformats.org/officeDocument/2006/relationships" ref="K74" r:id="rId71"/>
    <hyperlink xmlns:r="http://schemas.openxmlformats.org/officeDocument/2006/relationships" ref="K75" r:id="rId72"/>
    <hyperlink xmlns:r="http://schemas.openxmlformats.org/officeDocument/2006/relationships" ref="K76" r:id="rId73"/>
    <hyperlink xmlns:r="http://schemas.openxmlformats.org/officeDocument/2006/relationships" ref="K77" r:id="rId74"/>
    <hyperlink xmlns:r="http://schemas.openxmlformats.org/officeDocument/2006/relationships" ref="K78" r:id="rId75"/>
    <hyperlink xmlns:r="http://schemas.openxmlformats.org/officeDocument/2006/relationships" ref="K79" r:id="rId76"/>
    <hyperlink xmlns:r="http://schemas.openxmlformats.org/officeDocument/2006/relationships" ref="K80" r:id="rId77"/>
  </hyperlinks>
  <pageMargins left="0.75" right="0.75" top="1" bottom="1" header="0.5" footer="0.5"/>
  <tableParts count="1">
    <tablePart xmlns:r="http://schemas.openxmlformats.org/officeDocument/2006/relationships" r:id="rId78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8" customWidth="1" min="1" max="1"/>
    <col width="34" customWidth="1" min="7" max="7"/>
  </cols>
  <sheetData>
    <row r="1">
      <c r="A1" s="5" t="inlineStr">
        <is>
          <t>Блок</t>
        </is>
      </c>
      <c r="B1" s="5" t="inlineStr">
        <is>
          <t>HIGH</t>
        </is>
      </c>
      <c r="C1" s="5" t="inlineStr">
        <is>
          <t>MEDIUM</t>
        </is>
      </c>
      <c r="D1" s="5" t="inlineStr">
        <is>
          <t>LOW</t>
        </is>
      </c>
      <c r="E1" s="5" t="inlineStr">
        <is>
          <t>Всего</t>
        </is>
      </c>
      <c r="G1" s="6" t="inlineStr">
        <is>
          <t>Статусы (лист «Партнёры», колонка M)</t>
        </is>
      </c>
    </row>
    <row r="2">
      <c r="A2" s="7" t="inlineStr">
        <is>
          <t>Китай</t>
        </is>
      </c>
      <c r="B2" s="7">
        <f>COUNTIFS(Партнёры!$B$2:$B$80,$A2,Партнёры!$H$2:$H$80,B$1)</f>
        <v/>
      </c>
      <c r="C2" s="7">
        <f>COUNTIFS(Партнёры!$B$2:$B$80,$A2,Партнёры!$H$2:$H$80,C$1)</f>
        <v/>
      </c>
      <c r="D2" s="7">
        <f>COUNTIFS(Партнёры!$B$2:$B$80,$A2,Партнёры!$H$2:$H$80,D$1)</f>
        <v/>
      </c>
      <c r="E2" s="7">
        <f>SUM(B2:D2)</f>
        <v/>
      </c>
      <c r="G2" s="8" t="inlineStr">
        <is>
          <t>отправлено</t>
        </is>
      </c>
      <c r="H2" s="8">
        <f>COUNTIF(Партнёры!$M$2:$M$80,G2)</f>
        <v/>
      </c>
    </row>
    <row r="3">
      <c r="A3" s="7" t="inlineStr">
        <is>
          <t>Россия</t>
        </is>
      </c>
      <c r="B3" s="7">
        <f>COUNTIFS(Партнёры!$B$2:$B$80,$A3,Партнёры!$H$2:$H$80,B$1)</f>
        <v/>
      </c>
      <c r="C3" s="7">
        <f>COUNTIFS(Партнёры!$B$2:$B$80,$A3,Партнёры!$H$2:$H$80,C$1)</f>
        <v/>
      </c>
      <c r="D3" s="7">
        <f>COUNTIFS(Партнёры!$B$2:$B$80,$A3,Партнёры!$H$2:$H$80,D$1)</f>
        <v/>
      </c>
      <c r="E3" s="7">
        <f>SUM(B3:D3)</f>
        <v/>
      </c>
      <c r="G3" s="8" t="inlineStr">
        <is>
          <t>ответили</t>
        </is>
      </c>
      <c r="H3" s="8">
        <f>COUNTIF(Партнёры!$M$2:$M$80,G3)</f>
        <v/>
      </c>
    </row>
    <row r="4">
      <c r="A4" s="7" t="inlineStr">
        <is>
          <t>Турция</t>
        </is>
      </c>
      <c r="B4" s="7">
        <f>COUNTIFS(Партнёры!$B$2:$B$80,$A4,Партнёры!$H$2:$H$80,B$1)</f>
        <v/>
      </c>
      <c r="C4" s="7">
        <f>COUNTIFS(Партнёры!$B$2:$B$80,$A4,Партнёры!$H$2:$H$80,C$1)</f>
        <v/>
      </c>
      <c r="D4" s="7">
        <f>COUNTIFS(Партнёры!$B$2:$B$80,$A4,Партнёры!$H$2:$H$80,D$1)</f>
        <v/>
      </c>
      <c r="E4" s="7">
        <f>SUM(B4:D4)</f>
        <v/>
      </c>
      <c r="G4" s="8" t="inlineStr">
        <is>
          <t>в переговорах</t>
        </is>
      </c>
      <c r="H4" s="8">
        <f>COUNTIF(Партнёры!$M$2:$M$80,G4)</f>
        <v/>
      </c>
    </row>
    <row r="5">
      <c r="A5" s="7" t="inlineStr">
        <is>
          <t>Германия</t>
        </is>
      </c>
      <c r="B5" s="7">
        <f>COUNTIFS(Партнёры!$B$2:$B$80,$A5,Партнёры!$H$2:$H$80,B$1)</f>
        <v/>
      </c>
      <c r="C5" s="7">
        <f>COUNTIFS(Партнёры!$B$2:$B$80,$A5,Партнёры!$H$2:$H$80,C$1)</f>
        <v/>
      </c>
      <c r="D5" s="7">
        <f>COUNTIFS(Партнёры!$B$2:$B$80,$A5,Партнёры!$H$2:$H$80,D$1)</f>
        <v/>
      </c>
      <c r="E5" s="7">
        <f>SUM(B5:D5)</f>
        <v/>
      </c>
      <c r="G5" s="8" t="inlineStr">
        <is>
          <t>отказ</t>
        </is>
      </c>
      <c r="H5" s="8">
        <f>COUNTIF(Партнёры!$M$2:$M$80,G5)</f>
        <v/>
      </c>
    </row>
    <row r="6">
      <c r="A6" s="7" t="inlineStr">
        <is>
          <t>Великобритания</t>
        </is>
      </c>
      <c r="B6" s="7">
        <f>COUNTIFS(Партнёры!$B$2:$B$80,$A6,Партнёры!$H$2:$H$80,B$1)</f>
        <v/>
      </c>
      <c r="C6" s="7">
        <f>COUNTIFS(Партнёры!$B$2:$B$80,$A6,Партнёры!$H$2:$H$80,C$1)</f>
        <v/>
      </c>
      <c r="D6" s="7">
        <f>COUNTIFS(Партнёры!$B$2:$B$80,$A6,Партнёры!$H$2:$H$80,D$1)</f>
        <v/>
      </c>
      <c r="E6" s="7">
        <f>SUM(B6:D6)</f>
        <v/>
      </c>
    </row>
    <row r="7">
      <c r="A7" s="7" t="inlineStr">
        <is>
          <t>Италия</t>
        </is>
      </c>
      <c r="B7" s="7">
        <f>COUNTIFS(Партнёры!$B$2:$B$80,$A7,Партнёры!$H$2:$H$80,B$1)</f>
        <v/>
      </c>
      <c r="C7" s="7">
        <f>COUNTIFS(Партнёры!$B$2:$B$80,$A7,Партнёры!$H$2:$H$80,C$1)</f>
        <v/>
      </c>
      <c r="D7" s="7">
        <f>COUNTIFS(Партнёры!$B$2:$B$80,$A7,Партнёры!$H$2:$H$80,D$1)</f>
        <v/>
      </c>
      <c r="E7" s="7">
        <f>SUM(B7:D7)</f>
        <v/>
      </c>
    </row>
    <row r="8">
      <c r="A8" s="9" t="inlineStr">
        <is>
          <t>Итого</t>
        </is>
      </c>
      <c r="B8" s="9">
        <f>SUM(B2:B7)</f>
        <v/>
      </c>
      <c r="C8" s="9">
        <f>SUM(C2:C7)</f>
        <v/>
      </c>
      <c r="D8" s="9">
        <f>SUM(D2:D7)</f>
        <v/>
      </c>
      <c r="E8" s="9">
        <f>SUM(E2:E7)</f>
        <v/>
      </c>
    </row>
    <row r="11">
      <c r="A11" s="10" t="inlineStr">
        <is>
          <t>Подсказка: заполняйте жёлтые колонки M–O на листе «Партнёры» (статус: отправлено / ответили / в переговорах / отказ) — сводка пересчитается.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18" customWidth="1" min="2" max="2"/>
    <col width="20" customWidth="1" min="3" max="3"/>
    <col width="10" customWidth="1" min="4" max="4"/>
    <col width="30" customWidth="1" min="5" max="5"/>
    <col width="60" customWidth="1" min="6" max="6"/>
  </cols>
  <sheetData>
    <row r="1">
      <c r="A1" s="1" t="inlineStr">
        <is>
          <t>Ранг</t>
        </is>
      </c>
      <c r="B1" s="1" t="inlineStr">
        <is>
          <t>Страна</t>
        </is>
      </c>
      <c r="C1" s="1" t="inlineStr">
        <is>
          <t>Баллы (К1–К6)</t>
        </is>
      </c>
      <c r="D1" s="1" t="inlineStr">
        <is>
          <t>Итог</t>
        </is>
      </c>
      <c r="E1" s="1" t="inlineStr">
        <is>
          <t>Выполнены (2) / частично (1)</t>
        </is>
      </c>
      <c r="F1" s="1" t="inlineStr">
        <is>
          <t>Лучшие 3 партнёра</t>
        </is>
      </c>
    </row>
    <row r="2">
      <c r="A2" s="2" t="inlineStr">
        <is>
          <t>спр.</t>
        </is>
      </c>
      <c r="B2" s="2" t="inlineStr">
        <is>
          <t>Китай (этап 1)</t>
        </is>
      </c>
      <c r="C2" s="2" t="inlineStr">
        <is>
          <t>2-2-2-1-2-2 = 11</t>
        </is>
      </c>
      <c r="D2" s="2" t="inlineStr">
        <is>
          <t>HIGH</t>
        </is>
      </c>
      <c r="E2" s="2" t="inlineStr">
        <is>
          <t>К1, К2, К3, К5, К6 / К4</t>
        </is>
      </c>
      <c r="F2" s="2" t="inlineStr">
        <is>
          <t>CAST + CSTM (тур), CANSM/BRISMIS, Panshi</t>
        </is>
      </c>
    </row>
    <row r="3">
      <c r="A3" s="2" t="inlineStr">
        <is>
          <t>1</t>
        </is>
      </c>
      <c r="B3" s="2" t="inlineStr">
        <is>
          <t>Россия</t>
        </is>
      </c>
      <c r="C3" s="2" t="inlineStr">
        <is>
          <t>2-2-2-1-2-1 = 10</t>
        </is>
      </c>
      <c r="D3" s="2" t="inlineStr">
        <is>
          <t>HIGH</t>
        </is>
      </c>
      <c r="E3" s="2" t="inlineStr">
        <is>
          <t>К1, К2, К3, К5 / К4, К6</t>
        </is>
      </c>
      <c r="F3" s="2" t="inlineStr">
        <is>
          <t>Политехнический музей (Москва); Росатом (ИЦАТ в Ташкенте); Трансмашхолдинг</t>
        </is>
      </c>
    </row>
    <row r="4">
      <c r="A4" s="2" t="inlineStr">
        <is>
          <t>2</t>
        </is>
      </c>
      <c r="B4" s="2" t="inlineStr">
        <is>
          <t>Турция</t>
        </is>
      </c>
      <c r="C4" s="2" t="inlineStr">
        <is>
          <t>2-2-2-1-2-1 = 10</t>
        </is>
      </c>
      <c r="D4" s="2" t="inlineStr">
        <is>
          <t>HIGH</t>
        </is>
      </c>
      <c r="E4" s="2" t="inlineStr">
        <is>
          <t>К1, К2, К3, К5 / К4, К6</t>
        </is>
      </c>
      <c r="F4" s="2" t="inlineStr">
        <is>
          <t>Фонд T3 (Bilim Taşkent); TÜBİTAK (научные центры, программа 2518); Rahmi M. Koç Museum</t>
        </is>
      </c>
    </row>
    <row r="5">
      <c r="A5" s="2" t="inlineStr">
        <is>
          <t>3</t>
        </is>
      </c>
      <c r="B5" s="2" t="inlineStr">
        <is>
          <t>Германия</t>
        </is>
      </c>
      <c r="C5" s="2" t="inlineStr">
        <is>
          <t>2-2-2-1-1-2 = 10</t>
        </is>
      </c>
      <c r="D5" s="2" t="inlineStr">
        <is>
          <t>HIGH</t>
        </is>
      </c>
      <c r="E5" s="2" t="inlineStr">
        <is>
          <t>К1, К2, К3, К6 / К4, К5</t>
        </is>
      </c>
      <c r="F5" s="2" t="inlineStr">
        <is>
          <t>Max Planck Society / archimedes exhibitions (Science Tunnel); Deutsches Museum; MAN Truck &amp; Bus (СП с «Узавтосаноатом»)</t>
        </is>
      </c>
    </row>
    <row r="6">
      <c r="A6" s="2" t="inlineStr">
        <is>
          <t>4</t>
        </is>
      </c>
      <c r="B6" s="2" t="inlineStr">
        <is>
          <t>Великобритания</t>
        </is>
      </c>
      <c r="C6" s="2" t="inlineStr">
        <is>
          <t>2-2-2-0-1-2 = 9</t>
        </is>
      </c>
      <c r="D6" s="2" t="inlineStr">
        <is>
          <t>HIGH</t>
        </is>
      </c>
      <c r="E6" s="2" t="inlineStr">
        <is>
          <t>К1, К2, К3, К6 / К5</t>
        </is>
      </c>
      <c r="F6" s="2" t="inlineStr">
        <is>
          <t>Science Museum Group (туры, консалтинг); 1001 Inventions; British Council Uzbekistan</t>
        </is>
      </c>
    </row>
    <row r="7">
      <c r="A7" s="2" t="inlineStr">
        <is>
          <t>5</t>
        </is>
      </c>
      <c r="B7" s="2" t="inlineStr">
        <is>
          <t>Италия</t>
        </is>
      </c>
      <c r="C7" s="2" t="inlineStr">
        <is>
          <t>1-2-2-0-1-2 = 8</t>
        </is>
      </c>
      <c r="D7" s="2" t="inlineStr">
        <is>
          <t>MEDIUM</t>
        </is>
      </c>
      <c r="E7" s="2" t="inlineStr">
        <is>
          <t>К2, К3, К6 / К1, К5</t>
        </is>
      </c>
      <c r="F7" s="2" t="inlineStr">
        <is>
          <t>Turin Polytechnic University in Tashkent / Politecnico di Torino; Museo Nazionale Scienza e Tecnologia; Leonardo3</t>
        </is>
      </c>
    </row>
    <row r="8">
      <c r="A8" s="2" t="inlineStr">
        <is>
          <t>6</t>
        </is>
      </c>
      <c r="B8" s="2" t="inlineStr">
        <is>
          <t>Франция</t>
        </is>
      </c>
      <c r="C8" s="2" t="inlineStr">
        <is>
          <t>2-1-2-0-1-2 = 8</t>
        </is>
      </c>
      <c r="D8" s="2" t="inlineStr">
        <is>
          <t>MEDIUM</t>
        </is>
      </c>
      <c r="E8" s="2" t="inlineStr">
        <is>
          <t>К1, К3, К6 / К2, К5</t>
        </is>
      </c>
      <c r="F8" s="2" t="inlineStr">
        <is>
          <t>Universcience (Cité des sciences); Orano; Musée des Arts et Métiers</t>
        </is>
      </c>
    </row>
    <row r="9">
      <c r="A9" s="2" t="inlineStr">
        <is>
          <t>7</t>
        </is>
      </c>
      <c r="B9" s="2" t="inlineStr">
        <is>
          <t>Южная Корея</t>
        </is>
      </c>
      <c r="C9" s="2" t="inlineStr">
        <is>
          <t>1-2-2-0-1-1 = 7</t>
        </is>
      </c>
      <c r="D9" s="2" t="inlineStr">
        <is>
          <t>MEDIUM</t>
        </is>
      </c>
      <c r="E9" s="2" t="inlineStr">
        <is>
          <t>К2, К3 / К1, К5, К6</t>
        </is>
      </c>
      <c r="F9" s="2" t="inlineStr">
        <is>
          <t>Hyundai Rotem; Kia (через ADM Jizzakh); KOICA</t>
        </is>
      </c>
    </row>
    <row r="10">
      <c r="A10" s="2" t="inlineStr">
        <is>
          <t>8</t>
        </is>
      </c>
      <c r="B10" s="2" t="inlineStr">
        <is>
          <t>Япония</t>
        </is>
      </c>
      <c r="C10" s="2" t="inlineStr">
        <is>
          <t>1-2-2-1-0-1 = 7</t>
        </is>
      </c>
      <c r="D10" s="2" t="inlineStr">
        <is>
          <t>MEDIUM</t>
        </is>
      </c>
      <c r="E10" s="2" t="inlineStr">
        <is>
          <t>К2, К3 / К1, К4, К6</t>
        </is>
      </c>
      <c r="F10" s="2" t="inlineStr">
        <is>
          <t>JST (Sakura Science); JICA; Miraikan</t>
        </is>
      </c>
    </row>
    <row r="11">
      <c r="A11" s="2" t="inlineStr">
        <is>
          <t>9</t>
        </is>
      </c>
      <c r="B11" s="2" t="inlineStr">
        <is>
          <t>Финляндия</t>
        </is>
      </c>
      <c r="C11" s="2" t="inlineStr">
        <is>
          <t>2-0-1-1-1-2 = 7</t>
        </is>
      </c>
      <c r="D11" s="2" t="inlineStr">
        <is>
          <t>MEDIUM</t>
        </is>
      </c>
      <c r="E11" s="2" t="inlineStr">
        <is>
          <t>К1, К6 / К3, К4, К5</t>
        </is>
      </c>
      <c r="F11" s="2" t="inlineStr">
        <is>
          <t>Heureka Overseas Productions; — ; —</t>
        </is>
      </c>
    </row>
    <row r="12">
      <c r="A12" s="2" t="inlineStr">
        <is>
          <t>10</t>
        </is>
      </c>
      <c r="B12" s="2" t="inlineStr">
        <is>
          <t>Индия</t>
        </is>
      </c>
      <c r="C12" s="2" t="inlineStr">
        <is>
          <t>2-2-1-0-1-0 = 6</t>
        </is>
      </c>
      <c r="D12" s="2" t="inlineStr">
        <is>
          <t>MEDIUM</t>
        </is>
      </c>
      <c r="E12" s="2" t="inlineStr">
        <is>
          <t>К1, К2 / К3, К5</t>
        </is>
      </c>
      <c r="F12" s="2" t="inlineStr">
        <is>
          <t>NCSM; ITEC (MEA); —</t>
        </is>
      </c>
    </row>
    <row r="13">
      <c r="A13" s="2" t="inlineStr">
        <is>
          <t>11</t>
        </is>
      </c>
      <c r="B13" s="2" t="inlineStr">
        <is>
          <t>США</t>
        </is>
      </c>
      <c r="C13" s="2" t="inlineStr">
        <is>
          <t>1-1-2-0-0-2 = 6</t>
        </is>
      </c>
      <c r="D13" s="2" t="inlineStr">
        <is>
          <t>MEDIUM</t>
        </is>
      </c>
      <c r="E13" s="2" t="inlineStr">
        <is>
          <t>К3, К6 / К1, К2</t>
        </is>
      </c>
      <c r="F13" s="2" t="inlineStr">
        <is>
          <t>ASTC; Exploratorium Global Studios; Boeing</t>
        </is>
      </c>
    </row>
    <row r="14">
      <c r="A14" s="2" t="inlineStr">
        <is>
          <t>12</t>
        </is>
      </c>
      <c r="B14" s="2" t="inlineStr">
        <is>
          <t>Сингапур</t>
        </is>
      </c>
      <c r="C14" s="2" t="inlineStr">
        <is>
          <t>2-0-1-0-1-2 = 6</t>
        </is>
      </c>
      <c r="D14" s="2" t="inlineStr">
        <is>
          <t>MEDIUM</t>
        </is>
      </c>
      <c r="E14" s="2" t="inlineStr">
        <is>
          <t>К1, К6 / К3, К5</t>
        </is>
      </c>
      <c r="F14" s="2" t="inlineStr">
        <is>
          <t>Science Centre Singapore / SSC Global (исп. директор ASPAC — см. CN-05)</t>
        </is>
      </c>
    </row>
    <row r="15">
      <c r="A15" s="2" t="inlineStr">
        <is>
          <t>13</t>
        </is>
      </c>
      <c r="B15" s="2" t="inlineStr">
        <is>
          <t>Казахстан</t>
        </is>
      </c>
      <c r="C15" s="2" t="inlineStr">
        <is>
          <t>0-2-1-0-2-0 = 5</t>
        </is>
      </c>
      <c r="D15" s="2" t="inlineStr">
        <is>
          <t>LOW</t>
        </is>
      </c>
      <c r="E15" s="2" t="inlineStr">
        <is>
          <t>К2, К5 / К3</t>
        </is>
      </c>
      <c r="F15" s="2" t="inlineStr">
        <is>
          <t>Nur Alem (Музей энергии будущего); Almaty Children's Science Museum; —</t>
        </is>
      </c>
    </row>
    <row r="16">
      <c r="A16" s="2" t="inlineStr">
        <is>
          <t>14</t>
        </is>
      </c>
      <c r="B16" s="2" t="inlineStr">
        <is>
          <t>Кыргызстан</t>
        </is>
      </c>
      <c r="C16" s="2" t="inlineStr">
        <is>
          <t>0-2-0-0-2-0 = 4</t>
        </is>
      </c>
      <c r="D16" s="2" t="inlineStr">
        <is>
          <t>LOW</t>
        </is>
      </c>
      <c r="E16" s="2" t="inlineStr">
        <is>
          <t>К2, К5</t>
        </is>
      </c>
      <c r="F16" s="2" t="inlineStr">
        <is>
          <t>— (сосед; кандидат в региональную сеть)</t>
        </is>
      </c>
    </row>
    <row r="17">
      <c r="A17" s="2" t="inlineStr">
        <is>
          <t>15</t>
        </is>
      </c>
      <c r="B17" s="2" t="inlineStr">
        <is>
          <t>Таджикистан</t>
        </is>
      </c>
      <c r="C17" s="2" t="inlineStr">
        <is>
          <t>0-2-0-0-2-0 = 4</t>
        </is>
      </c>
      <c r="D17" s="2" t="inlineStr">
        <is>
          <t>LOW</t>
        </is>
      </c>
      <c r="E17" s="2" t="inlineStr">
        <is>
          <t>К2, К5</t>
        </is>
      </c>
      <c r="F17" s="2" t="inlineStr">
        <is>
          <t>— (сосед; кандидат в региональную сеть)</t>
        </is>
      </c>
    </row>
    <row r="18">
      <c r="A18" s="2" t="inlineStr">
        <is>
          <t>16</t>
        </is>
      </c>
      <c r="B18" s="2" t="inlineStr">
        <is>
          <t>Чехия</t>
        </is>
      </c>
      <c r="C18" s="2" t="inlineStr">
        <is>
          <t>0-2-0-0-1-1 = 4</t>
        </is>
      </c>
      <c r="D18" s="2" t="inlineStr">
        <is>
          <t>LOW</t>
        </is>
      </c>
      <c r="E18" s="2" t="inlineStr">
        <is>
          <t>К2 / К5, К6</t>
        </is>
      </c>
      <c r="F18" s="2" t="inlineStr">
        <is>
          <t>Škoda Group (Škoda Academy в Узбекистане)</t>
        </is>
      </c>
    </row>
    <row r="19">
      <c r="A19" s="2" t="inlineStr">
        <is>
          <t>17</t>
        </is>
      </c>
      <c r="B19" s="2" t="inlineStr">
        <is>
          <t>Малайзия</t>
        </is>
      </c>
      <c r="C19" s="2" t="inlineStr">
        <is>
          <t>0-1-1-0-1-1 = 4</t>
        </is>
      </c>
      <c r="D19" s="2" t="inlineStr">
        <is>
          <t>LOW</t>
        </is>
      </c>
      <c r="E19" s="2" t="inlineStr">
        <is>
          <t>— / К2, К3, К5, К6</t>
        </is>
      </c>
      <c r="F19" s="2" t="inlineStr">
        <is>
          <t>Petrosains</t>
        </is>
      </c>
    </row>
    <row r="20">
      <c r="A20" s="2" t="inlineStr">
        <is>
          <t>18</t>
        </is>
      </c>
      <c r="B20" s="2" t="inlineStr">
        <is>
          <t>Канада</t>
        </is>
      </c>
      <c r="C20" s="2" t="inlineStr">
        <is>
          <t>2-0-2-0-0-0 = 4</t>
        </is>
      </c>
      <c r="D20" s="2" t="inlineStr">
        <is>
          <t>LOW</t>
        </is>
      </c>
      <c r="E20" s="2" t="inlineStr">
        <is>
          <t>К1, К3</t>
        </is>
      </c>
      <c r="F20" s="2" t="inlineStr">
        <is>
          <t>Ingenium (16 передвижных выставок)</t>
        </is>
      </c>
    </row>
    <row r="21">
      <c r="A21" s="2" t="inlineStr">
        <is>
          <t>19</t>
        </is>
      </c>
      <c r="B21" s="2" t="inlineStr">
        <is>
          <t>Австралия</t>
        </is>
      </c>
      <c r="C21" s="2" t="inlineStr">
        <is>
          <t>2-0-1-0-0-1 = 4</t>
        </is>
      </c>
      <c r="D21" s="2" t="inlineStr">
        <is>
          <t>LOW</t>
        </is>
      </c>
      <c r="E21" s="2" t="inlineStr">
        <is>
          <t>К1 / К3, К6</t>
        </is>
      </c>
      <c r="F21" s="2" t="inlineStr">
        <is>
          <t>Questacon</t>
        </is>
      </c>
    </row>
    <row r="22">
      <c r="A22" s="2" t="inlineStr">
        <is>
          <t>20</t>
        </is>
      </c>
      <c r="B22" s="2" t="inlineStr">
        <is>
          <t>Таиланд</t>
        </is>
      </c>
      <c r="C22" s="2" t="inlineStr">
        <is>
          <t>0-0-1-0-1-2 = 4</t>
        </is>
      </c>
      <c r="D22" s="2" t="inlineStr">
        <is>
          <t>LOW</t>
        </is>
      </c>
      <c r="E22" s="2" t="inlineStr">
        <is>
          <t>К6 / К3, К5</t>
        </is>
      </c>
      <c r="F22" s="2" t="inlineStr">
        <is>
          <t>NSM Thailand</t>
        </is>
      </c>
    </row>
    <row r="23">
      <c r="A23" s="2" t="inlineStr">
        <is>
          <t>21</t>
        </is>
      </c>
      <c r="B23" s="2" t="inlineStr">
        <is>
          <t>Испания</t>
        </is>
      </c>
      <c r="C23" s="2" t="inlineStr">
        <is>
          <t>0-2-0-0-1-0 = 3</t>
        </is>
      </c>
      <c r="D23" s="2" t="inlineStr">
        <is>
          <t>LOW</t>
        </is>
      </c>
      <c r="E23" s="2" t="inlineStr">
        <is>
          <t>К2 / К5</t>
        </is>
      </c>
      <c r="F23" s="2" t="inlineStr">
        <is>
          <t>Talgo</t>
        </is>
      </c>
    </row>
    <row r="24">
      <c r="A24" s="2" t="inlineStr">
        <is>
          <t>22</t>
        </is>
      </c>
      <c r="B24" s="2" t="inlineStr">
        <is>
          <t>Саудовская Аравия</t>
        </is>
      </c>
      <c r="C24" s="2" t="inlineStr">
        <is>
          <t>0-2-0-0-1-0 = 3</t>
        </is>
      </c>
      <c r="D24" s="2" t="inlineStr">
        <is>
          <t>LOW</t>
        </is>
      </c>
      <c r="E24" s="2" t="inlineStr">
        <is>
          <t>К2 / К5</t>
        </is>
      </c>
      <c r="F24" s="2" t="inlineStr">
        <is>
          <t>ACWA Power</t>
        </is>
      </c>
    </row>
    <row r="25">
      <c r="A25" s="2" t="inlineStr">
        <is>
          <t>23</t>
        </is>
      </c>
      <c r="B25" s="2" t="inlineStr">
        <is>
          <t>ОАЭ</t>
        </is>
      </c>
      <c r="C25" s="2" t="inlineStr">
        <is>
          <t>0-2-0-0-1-0 = 3</t>
        </is>
      </c>
      <c r="D25" s="2" t="inlineStr">
        <is>
          <t>LOW</t>
        </is>
      </c>
      <c r="E25" s="2" t="inlineStr">
        <is>
          <t>К2 / К5</t>
        </is>
      </c>
      <c r="F25" s="2" t="inlineStr">
        <is>
          <t>Masdar</t>
        </is>
      </c>
    </row>
    <row r="26">
      <c r="A26" s="2" t="inlineStr">
        <is>
          <t>24</t>
        </is>
      </c>
      <c r="B26" s="2" t="inlineStr">
        <is>
          <t>Туркменистан</t>
        </is>
      </c>
      <c r="C26" s="2" t="inlineStr">
        <is>
          <t>0-1-0-0-2-0 = 3</t>
        </is>
      </c>
      <c r="D26" s="2" t="inlineStr">
        <is>
          <t>LOW</t>
        </is>
      </c>
      <c r="E26" s="2" t="inlineStr">
        <is>
          <t>К5 / К2</t>
        </is>
      </c>
      <c r="F26" s="2" t="inlineStr">
        <is>
          <t>—</t>
        </is>
      </c>
    </row>
    <row r="27">
      <c r="A27" s="2" t="inlineStr">
        <is>
          <t>25</t>
        </is>
      </c>
      <c r="B27" s="2" t="inlineStr">
        <is>
          <t>Польша</t>
        </is>
      </c>
      <c r="C27" s="2" t="inlineStr">
        <is>
          <t>1-0-1-0-1-0 = 3</t>
        </is>
      </c>
      <c r="D27" s="2" t="inlineStr">
        <is>
          <t>LOW</t>
        </is>
      </c>
      <c r="E27" s="2" t="inlineStr">
        <is>
          <t>— / К1, К3, К5</t>
        </is>
      </c>
      <c r="F27" s="2" t="inlineStr">
        <is>
          <t>Copernicus Science Centre</t>
        </is>
      </c>
    </row>
    <row r="28">
      <c r="A28" s="2" t="inlineStr">
        <is>
          <t>26</t>
        </is>
      </c>
      <c r="B28" s="2" t="inlineStr">
        <is>
          <t>Нидерланды</t>
        </is>
      </c>
      <c r="C28" s="2" t="inlineStr">
        <is>
          <t>0-0-1-0-1-0 = 2</t>
        </is>
      </c>
      <c r="D28" s="2" t="inlineStr">
        <is>
          <t>LOW</t>
        </is>
      </c>
      <c r="E28" s="2" t="inlineStr">
        <is>
          <t>— / К3, К5</t>
        </is>
      </c>
      <c r="F28" s="2" t="inlineStr">
        <is>
          <t>NEMO Science Museum</t>
        </is>
      </c>
    </row>
    <row r="29">
      <c r="A29" s="2" t="inlineStr">
        <is>
          <t>27</t>
        </is>
      </c>
      <c r="B29" s="2" t="inlineStr">
        <is>
          <t>Катар</t>
        </is>
      </c>
      <c r="C29" s="2" t="inlineStr">
        <is>
          <t>0-0-0-0-1-0 = 1</t>
        </is>
      </c>
      <c r="D29" s="2" t="inlineStr">
        <is>
          <t>LOW</t>
        </is>
      </c>
      <c r="E29" s="2" t="inlineStr">
        <is>
          <t>— / К5</t>
        </is>
      </c>
      <c r="F29" s="2" t="inlineStr">
        <is>
          <t>Unknown — further research required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8" customWidth="1" min="3" max="3"/>
    <col width="34" customWidth="1" min="4" max="4"/>
    <col width="40" customWidth="1" min="5" max="5"/>
    <col width="50" customWidth="1" min="6" max="6"/>
  </cols>
  <sheetData>
    <row r="1">
      <c r="A1" s="1" t="inlineStr">
        <is>
          <t>#</t>
        </is>
      </c>
      <c r="B1" s="1" t="inlineStr">
        <is>
          <t>Кому</t>
        </is>
      </c>
      <c r="C1" s="1" t="inlineStr">
        <is>
          <t>ID</t>
        </is>
      </c>
      <c r="D1" s="1" t="inlineStr">
        <is>
          <t>Канал</t>
        </is>
      </c>
      <c r="E1" s="1" t="inlineStr">
        <is>
          <t>Что просим</t>
        </is>
      </c>
      <c r="F1" s="1" t="inlineStr">
        <is>
          <t>Почему в первой десятке</t>
        </is>
      </c>
    </row>
    <row r="2">
      <c r="A2" s="2" t="inlineStr">
        <is>
          <t>1</t>
        </is>
      </c>
      <c r="B2" s="2" t="inlineStr">
        <is>
          <t>Дирекция фестиваля NAUKA 0+ (Э. Файзуллина)</t>
        </is>
      </c>
      <c r="C2" s="2" t="inlineStr">
        <is>
          <t>RU-02</t>
        </is>
      </c>
      <c r="D2" s="2" t="inlineStr">
        <is>
          <t>Прямой e-mail</t>
        </is>
      </c>
      <c r="E2" s="2" t="inlineStr">
        <is>
          <t>TPM — постоянный соорганизатор фестиваля на 2027–2028 + выставочный блок</t>
        </is>
      </c>
      <c r="F2" s="2" t="inlineStr">
        <is>
          <t>TPM уже три года центральная площадка фестиваля, нужно лишь оформить партнёрство</t>
        </is>
      </c>
    </row>
    <row r="3">
      <c r="A3" s="2" t="inlineStr">
        <is>
          <t>2</t>
        </is>
      </c>
      <c r="B3" s="2" t="inlineStr">
        <is>
          <t>Политехнический музей (Москва)</t>
        </is>
      </c>
      <c r="C3" s="2" t="inlineStr">
        <is>
          <t>RU-01</t>
        </is>
      </c>
      <c r="D3" s="2" t="inlineStr">
        <is>
          <t>Прямой e-mail + копия в посольство Узбекистана в РФ</t>
        </is>
      </c>
      <c r="E3" s="2" t="inlineStr">
        <is>
          <t>План на 2027 по соглашению 2024 г.: перекрёстная выставка, стажировки</t>
        </is>
      </c>
      <c r="F3" s="2" t="inlineStr">
        <is>
          <t>Соглашение об обмене экспонатами уже подписано (сначала проверить, с TPM ли)</t>
        </is>
      </c>
    </row>
    <row r="4">
      <c r="A4" s="2" t="inlineStr">
        <is>
          <t>3</t>
        </is>
      </c>
      <c r="B4" s="2" t="inlineStr">
        <is>
          <t>CAST (Ms. Feng Kai)</t>
        </is>
      </c>
      <c r="C4" s="2" t="inlineStr">
        <is>
          <t>CN-01</t>
        </is>
      </c>
      <c r="D4" s="2" t="inlineStr">
        <is>
          <t>Официальное письмо через посольство Узбекистана в КНР + e-mail</t>
        </is>
      </c>
      <c r="E4" s="2" t="inlineStr">
        <is>
          <t>Тур «China Mobile S&amp;T Museum» в Ташкент на 3 года</t>
        </is>
      </c>
      <c r="F4" s="2" t="inlineStr">
        <is>
          <t>Самая крупная бесплатная/софинансируемая выставка (60 экспонатов)</t>
        </is>
      </c>
    </row>
    <row r="5">
      <c r="A5" s="2" t="inlineStr">
        <is>
          <t>4</t>
        </is>
      </c>
      <c r="B5" s="2" t="inlineStr">
        <is>
          <t>BYD Uzbekistan Factory (Ш. Алимов)</t>
        </is>
      </c>
      <c r="C5" s="2" t="inlineStr">
        <is>
          <t>CN-22</t>
        </is>
      </c>
      <c r="D5" s="2" t="inlineStr">
        <is>
          <t>Письмо через «Узавтосаноат» (акционер СП и учредитель TPM)</t>
        </is>
      </c>
      <c r="E5" s="2" t="inlineStr">
        <is>
          <t>Разрезной электромобиль, стенд батареи</t>
        </is>
      </c>
      <c r="F5" s="2" t="inlineStr">
        <is>
          <t>Внутренний канал учредителя, быстрая сделка</t>
        </is>
      </c>
    </row>
    <row r="6">
      <c r="A6" s="2" t="inlineStr">
        <is>
          <t>5</t>
        </is>
      </c>
      <c r="B6" s="2" t="inlineStr">
        <is>
          <t>MAN Auto-Uzbekistan</t>
        </is>
      </c>
      <c r="C6" s="2" t="inlineStr">
        <is>
          <t>DE-01</t>
        </is>
      </c>
      <c r="D6" s="2" t="inlineStr">
        <is>
          <t>Через «Узавтосаноат»</t>
        </is>
      </c>
      <c r="E6" s="2" t="inlineStr">
        <is>
          <t>Разрез двигателя/КПП грузовика</t>
        </is>
      </c>
      <c r="F6" s="2" t="inlineStr">
        <is>
          <t>Тот же внутренний канал</t>
        </is>
      </c>
    </row>
    <row r="7">
      <c r="A7" s="2" t="inlineStr">
        <is>
          <t>6</t>
        </is>
      </c>
      <c r="B7" s="2" t="inlineStr">
        <is>
          <t>TİKA Ташкент</t>
        </is>
      </c>
      <c r="C7" s="2" t="inlineStr">
        <is>
          <t>TR-03</t>
        </is>
      </c>
      <c r="D7" s="2" t="inlineStr">
        <is>
          <t>Встреча в офисе + проектная заявка</t>
        </is>
      </c>
      <c r="E7" s="2" t="inlineStr">
        <is>
          <t>Грант на мейкер-мастерскую</t>
        </is>
      </c>
      <c r="F7" s="2" t="inlineStr">
        <is>
          <t>Офис в Ташкенте, финансирует оснащение</t>
        </is>
      </c>
    </row>
    <row r="8">
      <c r="A8" s="2" t="inlineStr">
        <is>
          <t>7</t>
        </is>
      </c>
      <c r="B8" s="2" t="inlineStr">
        <is>
          <t>Фонд T3 (Bilim Türkiye)</t>
        </is>
      </c>
      <c r="C8" s="2" t="inlineStr">
        <is>
          <t>TR-01</t>
        </is>
      </c>
      <c r="D8" s="2" t="inlineStr">
        <is>
          <t>E-mail + встреча с Агентством по делам молодёжи Узбекистана</t>
        </is>
      </c>
      <c r="E8" s="2" t="inlineStr">
        <is>
          <t>Партнёрство с Bilim Taşkent</t>
        </is>
      </c>
      <c r="F8" s="2" t="inlineStr">
        <is>
          <t>Проект уже согласован в Ташкенте</t>
        </is>
      </c>
    </row>
    <row r="9">
      <c r="A9" s="2" t="inlineStr">
        <is>
          <t>8</t>
        </is>
      </c>
      <c r="B9" s="2" t="inlineStr">
        <is>
          <t>1001 Inventions</t>
        </is>
      </c>
      <c r="C9" s="2" t="inlineStr">
        <is>
          <t>UK-01</t>
        </is>
      </c>
      <c r="D9" s="2" t="inlineStr">
        <is>
          <t>E-mail + через Центр исламской цивилизации</t>
        </is>
      </c>
      <c r="E9" s="2" t="inlineStr">
        <is>
          <t>Совместный школьный маршрут; аренда выставок</t>
        </is>
      </c>
      <c r="F9" s="2" t="inlineStr">
        <is>
          <t>Уже работают в Ташкенте (детский музей открыт 01.06.2026)</t>
        </is>
      </c>
    </row>
    <row r="10">
      <c r="A10" s="2" t="inlineStr">
        <is>
          <t>9</t>
        </is>
      </c>
      <c r="B10" s="2" t="inlineStr">
        <is>
          <t>Ecsite</t>
        </is>
      </c>
      <c r="C10" s="2" t="inlineStr">
        <is>
          <t>DE-07</t>
        </is>
      </c>
      <c r="D10" s="2" t="inlineStr">
        <is>
          <t>Онлайн-заявка + members@ecsite.eu</t>
        </is>
      </c>
      <c r="E10" s="2" t="inlineStr">
        <is>
          <t>Associate-членство</t>
        </is>
      </c>
      <c r="F10" s="2" t="inlineStr">
        <is>
          <t>Вход в главную сеть научных музеев, недорого</t>
        </is>
      </c>
    </row>
    <row r="11">
      <c r="A11" s="2" t="inlineStr">
        <is>
          <t>10</t>
        </is>
      </c>
      <c r="B11" s="2" t="inlineStr">
        <is>
          <t>Science Museum Group (Touring)</t>
        </is>
      </c>
      <c r="C11" s="2" t="inlineStr">
        <is>
          <t>UK-02</t>
        </is>
      </c>
      <c r="D11" s="2" t="inlineStr">
        <is>
          <t>E-mail</t>
        </is>
      </c>
      <c r="E11" s="2" t="inlineStr">
        <is>
          <t>Brochure 2026 + цена blueprint-пакета</t>
        </is>
      </c>
      <c r="F11" s="2" t="inlineStr">
        <is>
          <t>Выставка мирового уровня без расходов на перевозку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5" t="inlineStr">
        <is>
          <t>Поле</t>
        </is>
      </c>
      <c r="B1" s="5" t="inlineStr">
        <is>
          <t>Значение</t>
        </is>
      </c>
    </row>
    <row r="2">
      <c r="A2" s="11" t="inlineStr">
        <is>
          <t>Приоритет HIGH</t>
        </is>
      </c>
      <c r="B2" s="11" t="inlineStr">
        <is>
          <t>Есть международная программа, закрывает профиль TPM, контакт опубликован, есть прецедент (ЦА/СНГ/«Пояс и путь»)</t>
        </is>
      </c>
    </row>
    <row r="3">
      <c r="A3" s="11" t="inlineStr">
        <is>
          <t>Приоритет MEDIUM</t>
        </is>
      </c>
      <c r="B3" s="11" t="inlineStr">
        <is>
          <t>Не хватает одного из условий</t>
        </is>
      </c>
    </row>
    <row r="4">
      <c r="A4" s="11" t="inlineStr">
        <is>
          <t>Приоритет LOW</t>
        </is>
      </c>
      <c r="B4" s="11" t="inlineStr">
        <is>
          <t>Не хватает двух и более условий</t>
        </is>
      </c>
    </row>
    <row r="5">
      <c r="A5" s="11" t="inlineStr">
        <is>
          <t>Типы партнёров</t>
        </is>
      </c>
      <c r="B5" s="11" t="inlineStr">
        <is>
          <t>см. ниже</t>
        </is>
      </c>
    </row>
    <row r="6">
      <c r="A6" s="11" t="inlineStr">
        <is>
          <t>Тип 1</t>
        </is>
      </c>
      <c r="B6" s="11" t="inlineStr">
        <is>
          <t>Сеть/ассоциация</t>
        </is>
      </c>
    </row>
    <row r="7">
      <c r="A7" s="11" t="inlineStr">
        <is>
          <t>Тип 2</t>
        </is>
      </c>
      <c r="B7" s="11" t="inlineStr">
        <is>
          <t>Передвижные выставки</t>
        </is>
      </c>
    </row>
    <row r="8">
      <c r="A8" s="11" t="inlineStr">
        <is>
          <t>Тип 3</t>
        </is>
      </c>
      <c r="B8" s="11" t="inlineStr">
        <is>
          <t>Госорг./популяризация</t>
        </is>
      </c>
    </row>
    <row r="9">
      <c r="A9" s="11" t="inlineStr">
        <is>
          <t>Тип 4</t>
        </is>
      </c>
      <c r="B9" s="11" t="inlineStr">
        <is>
          <t>Передача снятых экспонатов</t>
        </is>
      </c>
    </row>
    <row r="10">
      <c r="A10" s="11" t="inlineStr">
        <is>
          <t>Тип 5</t>
        </is>
      </c>
      <c r="B10" s="11" t="inlineStr">
        <is>
          <t>Производитель (покупка)</t>
        </is>
      </c>
    </row>
    <row r="11">
      <c r="A11" s="11" t="inlineStr">
        <is>
          <t>Тип 6</t>
        </is>
      </c>
      <c r="B11" s="11" t="inlineStr">
        <is>
          <t>Спонсор/донор</t>
        </is>
      </c>
    </row>
    <row r="12">
      <c r="A12" s="11" t="inlineStr">
        <is>
          <t>Тип 7</t>
        </is>
      </c>
      <c r="B12" s="11" t="inlineStr">
        <is>
          <t>Отраслевой музей</t>
        </is>
      </c>
    </row>
    <row r="13">
      <c r="A13" s="11" t="inlineStr">
        <is>
          <t>Жёлтые колонки M–O</t>
        </is>
      </c>
      <c r="B13" s="11" t="inlineStr">
        <is>
          <t>Заполняет TPM: статус, дата отправки, комментарий. Пример: «отправлено», 2026-10-15, «ответ ждём до 05.11»</t>
        </is>
      </c>
    </row>
    <row r="14">
      <c r="A14" s="11" t="inlineStr">
        <is>
          <t>Источники</t>
        </is>
      </c>
      <c r="B14" s="11" t="inlineStr">
        <is>
          <t>Все факты и URL — в markdown-карточках (колонка «Карточка»), дата обращения 2026-10-02</t>
        </is>
      </c>
    </row>
    <row r="15">
      <c r="A15" s="11" t="inlineStr">
        <is>
          <t>Важно</t>
        </is>
      </c>
      <c r="B15" s="11" t="inlineStr">
        <is>
          <t>E-mail проверялись через поисковую выдачу — перед отправкой сверить на странице-источнике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2026-10-02T07:27:29Z</dcterms:created>
  <dcterms:modified xsi:type="dcterms:W3CDTF">2026-10-02T07:27:29Z</dcterms:modified>
</cp:coreProperties>
</file>